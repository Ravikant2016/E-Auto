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Company_Project\Evalley\Price_Meter\Nuvoton\Repository\Auto_Board\PCBV8_2\Project Outputs for Auto_OBD\"/>
    </mc:Choice>
  </mc:AlternateContent>
  <bookViews>
    <workbookView xWindow="0" yWindow="0" windowWidth="23040" windowHeight="8835"/>
  </bookViews>
  <sheets>
    <sheet name="Part List Report" sheetId="3" r:id="rId1"/>
  </sheets>
  <calcPr calcId="162913"/>
</workbook>
</file>

<file path=xl/calcChain.xml><?xml version="1.0" encoding="utf-8"?>
<calcChain xmlns="http://schemas.openxmlformats.org/spreadsheetml/2006/main">
  <c r="I6" i="3" l="1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5" i="3"/>
  <c r="A5" i="3"/>
  <c r="F41" i="3" l="1"/>
  <c r="A40" i="3" l="1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</calcChain>
</file>

<file path=xl/sharedStrings.xml><?xml version="1.0" encoding="utf-8"?>
<sst xmlns="http://schemas.openxmlformats.org/spreadsheetml/2006/main" count="164" uniqueCount="118">
  <si>
    <t>Approved</t>
  </si>
  <si>
    <t>Notes</t>
  </si>
  <si>
    <t>No.</t>
  </si>
  <si>
    <t>DNP</t>
  </si>
  <si>
    <t>M7</t>
  </si>
  <si>
    <t>BC847</t>
  </si>
  <si>
    <t>2P4M</t>
  </si>
  <si>
    <t>MJD122</t>
  </si>
  <si>
    <t>BC857</t>
  </si>
  <si>
    <t>SN65HVD1050DR</t>
  </si>
  <si>
    <t>LM358</t>
  </si>
  <si>
    <t>UH8104</t>
  </si>
  <si>
    <t>uP9602SW8</t>
  </si>
  <si>
    <t>STM32F072C8T6</t>
  </si>
  <si>
    <t>0.1uF/50V</t>
  </si>
  <si>
    <t>1000uF/50V</t>
  </si>
  <si>
    <t>10uF</t>
  </si>
  <si>
    <t>3.3nF</t>
  </si>
  <si>
    <t>22pF/50V</t>
  </si>
  <si>
    <t>12V/1W</t>
  </si>
  <si>
    <t>750mA PTC</t>
  </si>
  <si>
    <t>Ferrite Bead</t>
  </si>
  <si>
    <t>22uH/1.8A</t>
  </si>
  <si>
    <t>10K</t>
  </si>
  <si>
    <t>4.7K</t>
  </si>
  <si>
    <t>120R</t>
  </si>
  <si>
    <t>0R</t>
  </si>
  <si>
    <t>1K</t>
  </si>
  <si>
    <t>2.2K</t>
  </si>
  <si>
    <t>100K</t>
  </si>
  <si>
    <t>0.062R</t>
  </si>
  <si>
    <t>3R3</t>
  </si>
  <si>
    <t>24C02</t>
  </si>
  <si>
    <t>Description</t>
  </si>
  <si>
    <t/>
  </si>
  <si>
    <t>General Purpose Diode</t>
  </si>
  <si>
    <t>Zener Diode</t>
  </si>
  <si>
    <t>Ferrite Bead  200mΩ ±25% 60Ω@100MHz</t>
  </si>
  <si>
    <t>Silicon Controlled Rectifier</t>
  </si>
  <si>
    <t>NPN Darlington Bipolar Transistor</t>
  </si>
  <si>
    <t>Resistor</t>
  </si>
  <si>
    <t>DC-to-DC Converter Control Circuit</t>
  </si>
  <si>
    <t>Designator</t>
  </si>
  <si>
    <t>C2, C3, C5, C6, C7, C8, C9, C12, C14, C17, C19</t>
  </si>
  <si>
    <t>C11</t>
  </si>
  <si>
    <t>C13</t>
  </si>
  <si>
    <t>C15, C20</t>
  </si>
  <si>
    <t>C16</t>
  </si>
  <si>
    <t>C18</t>
  </si>
  <si>
    <t>C21, C22</t>
  </si>
  <si>
    <t>D5, D8, D9</t>
  </si>
  <si>
    <t>D6, D7</t>
  </si>
  <si>
    <t>F1</t>
  </si>
  <si>
    <t>L1</t>
  </si>
  <si>
    <t>L2</t>
  </si>
  <si>
    <t>Q1</t>
  </si>
  <si>
    <t>Q2</t>
  </si>
  <si>
    <t>Q3</t>
  </si>
  <si>
    <t>Q7</t>
  </si>
  <si>
    <t>R1, R2, R3, R10, R15, R20, R32</t>
  </si>
  <si>
    <t>R4, R5, R6, R31</t>
  </si>
  <si>
    <t>R7</t>
  </si>
  <si>
    <t>R8</t>
  </si>
  <si>
    <t>R9</t>
  </si>
  <si>
    <t>R11, R16</t>
  </si>
  <si>
    <t>R12, R33</t>
  </si>
  <si>
    <t>R13</t>
  </si>
  <si>
    <t>R14, R17, R18, R19, R21, R24, R25</t>
  </si>
  <si>
    <t>R22</t>
  </si>
  <si>
    <t>R23</t>
  </si>
  <si>
    <t>U1</t>
  </si>
  <si>
    <t>U2</t>
  </si>
  <si>
    <t>U3</t>
  </si>
  <si>
    <t>U4</t>
  </si>
  <si>
    <t>U4, U5</t>
  </si>
  <si>
    <t>U6</t>
  </si>
  <si>
    <t>U6_1</t>
  </si>
  <si>
    <t>U7</t>
  </si>
  <si>
    <t>U8</t>
  </si>
  <si>
    <t>Case/Package</t>
  </si>
  <si>
    <t>C0603</t>
  </si>
  <si>
    <t>D13xH25</t>
  </si>
  <si>
    <t>SMA</t>
  </si>
  <si>
    <t>1812</t>
  </si>
  <si>
    <t>R0603</t>
  </si>
  <si>
    <t>6x6x4.5</t>
  </si>
  <si>
    <t>SOT-23</t>
  </si>
  <si>
    <t>TO252</t>
  </si>
  <si>
    <t>R1206</t>
  </si>
  <si>
    <t>R1210</t>
  </si>
  <si>
    <t>SOP28</t>
  </si>
  <si>
    <t>SOIC-8</t>
  </si>
  <si>
    <t>SOT-223</t>
  </si>
  <si>
    <t>TQFP48</t>
  </si>
  <si>
    <t>Quantity</t>
  </si>
  <si>
    <t>MLCC Capacitor</t>
  </si>
  <si>
    <t>Resettable Fuse</t>
  </si>
  <si>
    <t>Power Inductor</t>
  </si>
  <si>
    <t>Transistor</t>
  </si>
  <si>
    <t>TM1640B</t>
  </si>
  <si>
    <t>LD1117AG-33</t>
  </si>
  <si>
    <t>Op-AMP IC</t>
  </si>
  <si>
    <t>Linear Voltage Regulator  IC</t>
  </si>
  <si>
    <t>CAN Transceiver IC</t>
  </si>
  <si>
    <t>LED Driver (IC)</t>
  </si>
  <si>
    <t>Hall Effecet Switch IC</t>
  </si>
  <si>
    <t>EEPROM IC</t>
  </si>
  <si>
    <t>Microcontroller IC</t>
  </si>
  <si>
    <t>Date</t>
  </si>
  <si>
    <t>PCB Qty.</t>
  </si>
  <si>
    <t>pcs</t>
  </si>
  <si>
    <t>Value</t>
  </si>
  <si>
    <t>Point/Comp.</t>
  </si>
  <si>
    <t>Part Points</t>
  </si>
  <si>
    <t>Required Qty.</t>
  </si>
  <si>
    <t>Send Qty.</t>
  </si>
  <si>
    <t>26/4/2023</t>
  </si>
  <si>
    <t>EVALLEY BOM ( E-Meter) Auto 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</si>
</sst>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8"/>
      <color indexed="10"/>
      <name val="Arial"/>
      <family val="2"/>
      <charset val="204"/>
    </font>
    <font>
      <b/>
      <sz val="10"/>
      <name val="Arial"/>
      <family val="2"/>
    </font>
    <font>
      <b/>
      <sz val="9"/>
      <name val="Arial"/>
      <family val="2"/>
    </font>
    <font>
      <sz val="10"/>
      <color theme="1"/>
      <name val="Arial"/>
      <family val="2"/>
    </font>
    <font>
      <b/>
      <sz val="20"/>
      <name val="Arial"/>
      <family val="2"/>
    </font>
    <font>
      <sz val="14"/>
      <name val="Arial"/>
      <family val="2"/>
    </font>
    <font>
      <sz val="1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vertical="top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1" fillId="0" borderId="1" xfId="0" applyNumberFormat="1" applyFont="1" applyFill="1" applyBorder="1" applyAlignment="1" applyProtection="1">
      <alignment horizontal="left" vertical="top"/>
      <protection locked="0"/>
    </xf>
    <xf numFmtId="0" fontId="1" fillId="0" borderId="0" xfId="0" applyNumberFormat="1" applyFont="1" applyFill="1" applyBorder="1" applyAlignment="1" applyProtection="1">
      <alignment horizontal="left" vertical="top"/>
      <protection locked="0"/>
    </xf>
    <xf numFmtId="0" fontId="1" fillId="0" borderId="0" xfId="0" applyNumberFormat="1" applyFont="1" applyFill="1" applyBorder="1" applyAlignment="1" applyProtection="1">
      <alignment vertical="top"/>
      <protection locked="0"/>
    </xf>
    <xf numFmtId="0" fontId="1" fillId="0" borderId="2" xfId="0" applyNumberFormat="1" applyFont="1" applyFill="1" applyBorder="1" applyAlignment="1" applyProtection="1">
      <alignment horizontal="left" vertical="top"/>
      <protection locked="0"/>
    </xf>
    <xf numFmtId="0" fontId="1" fillId="0" borderId="3" xfId="0" applyNumberFormat="1" applyFont="1" applyFill="1" applyBorder="1" applyAlignment="1" applyProtection="1">
      <alignment horizontal="left" vertical="top"/>
      <protection locked="0"/>
    </xf>
    <xf numFmtId="0" fontId="1" fillId="0" borderId="4" xfId="0" applyNumberFormat="1" applyFont="1" applyFill="1" applyBorder="1" applyAlignment="1" applyProtection="1">
      <alignment horizontal="left" vertical="top"/>
      <protection locked="0"/>
    </xf>
    <xf numFmtId="0" fontId="1" fillId="0" borderId="5" xfId="0" applyNumberFormat="1" applyFont="1" applyFill="1" applyBorder="1" applyAlignment="1" applyProtection="1">
      <alignment horizontal="left" vertical="top"/>
      <protection locked="0"/>
    </xf>
    <xf numFmtId="0" fontId="1" fillId="0" borderId="5" xfId="0" applyNumberFormat="1" applyFont="1" applyFill="1" applyBorder="1" applyAlignment="1" applyProtection="1">
      <alignment vertical="top"/>
      <protection locked="0"/>
    </xf>
    <xf numFmtId="0" fontId="1" fillId="0" borderId="6" xfId="0" applyNumberFormat="1" applyFont="1" applyFill="1" applyBorder="1" applyAlignment="1" applyProtection="1">
      <alignment vertical="top"/>
      <protection locked="0"/>
    </xf>
    <xf numFmtId="0" fontId="1" fillId="0" borderId="7" xfId="0" applyNumberFormat="1" applyFont="1" applyFill="1" applyBorder="1" applyAlignment="1" applyProtection="1">
      <alignment vertical="top"/>
      <protection locked="0"/>
    </xf>
    <xf numFmtId="0" fontId="1" fillId="0" borderId="8" xfId="0" applyNumberFormat="1" applyFont="1" applyFill="1" applyBorder="1" applyAlignment="1" applyProtection="1">
      <alignment vertical="top"/>
      <protection locked="0"/>
    </xf>
    <xf numFmtId="0" fontId="1" fillId="0" borderId="11" xfId="0" applyNumberFormat="1" applyFont="1" applyFill="1" applyBorder="1" applyAlignment="1" applyProtection="1">
      <alignment vertical="top"/>
      <protection locked="0"/>
    </xf>
    <xf numFmtId="0" fontId="1" fillId="0" borderId="12" xfId="0" applyNumberFormat="1" applyFont="1" applyFill="1" applyBorder="1" applyAlignment="1" applyProtection="1">
      <alignment horizontal="left" vertical="top"/>
      <protection locked="0"/>
    </xf>
    <xf numFmtId="0" fontId="1" fillId="0" borderId="9" xfId="0" applyNumberFormat="1" applyFont="1" applyFill="1" applyBorder="1" applyAlignment="1" applyProtection="1">
      <alignment horizontal="left" vertical="top"/>
      <protection locked="0"/>
    </xf>
    <xf numFmtId="0" fontId="5" fillId="0" borderId="10" xfId="0" applyNumberFormat="1" applyFont="1" applyFill="1" applyBorder="1" applyAlignment="1" applyProtection="1">
      <alignment horizontal="left" vertical="top"/>
      <protection locked="0"/>
    </xf>
    <xf numFmtId="49" fontId="7" fillId="0" borderId="13" xfId="0" applyNumberFormat="1" applyFont="1" applyFill="1" applyBorder="1" applyAlignment="1">
      <alignment vertical="center" wrapText="1"/>
    </xf>
    <xf numFmtId="0" fontId="0" fillId="0" borderId="10" xfId="0" applyBorder="1" applyAlignment="1">
      <alignment vertical="top"/>
    </xf>
    <xf numFmtId="49" fontId="7" fillId="0" borderId="15" xfId="0" applyNumberFormat="1" applyFont="1" applyFill="1" applyBorder="1" applyAlignment="1">
      <alignment vertical="center" wrapText="1"/>
    </xf>
    <xf numFmtId="49" fontId="6" fillId="3" borderId="17" xfId="0" applyNumberFormat="1" applyFont="1" applyFill="1" applyBorder="1" applyAlignment="1">
      <alignment vertical="center"/>
    </xf>
    <xf numFmtId="0" fontId="1" fillId="0" borderId="14" xfId="0" applyNumberFormat="1" applyFont="1" applyFill="1" applyBorder="1" applyAlignment="1" applyProtection="1">
      <alignment vertical="top"/>
      <protection locked="0"/>
    </xf>
    <xf numFmtId="0" fontId="6" fillId="3" borderId="16" xfId="0" applyFont="1" applyFill="1" applyBorder="1" applyAlignment="1">
      <alignment horizontal="center" vertical="center"/>
    </xf>
    <xf numFmtId="0" fontId="7" fillId="0" borderId="19" xfId="0" applyFont="1" applyFill="1" applyBorder="1" applyAlignment="1">
      <alignment horizontal="center" vertical="center" wrapText="1"/>
    </xf>
    <xf numFmtId="0" fontId="7" fillId="0" borderId="20" xfId="0" applyFont="1" applyFill="1" applyBorder="1" applyAlignment="1">
      <alignment horizontal="center" vertical="center" wrapText="1"/>
    </xf>
    <xf numFmtId="0" fontId="5" fillId="0" borderId="18" xfId="0" applyNumberFormat="1" applyFont="1" applyFill="1" applyBorder="1" applyAlignment="1" applyProtection="1">
      <alignment horizontal="left" vertical="top"/>
      <protection locked="0"/>
    </xf>
    <xf numFmtId="0" fontId="8" fillId="0" borderId="2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22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23" xfId="0" applyFont="1" applyBorder="1" applyAlignment="1">
      <alignment horizontal="center"/>
    </xf>
    <xf numFmtId="0" fontId="0" fillId="0" borderId="21" xfId="0" applyBorder="1" applyAlignment="1">
      <alignment horizontal="center"/>
    </xf>
    <xf numFmtId="14" fontId="9" fillId="0" borderId="2" xfId="0" applyNumberFormat="1" applyFont="1" applyBorder="1"/>
    <xf numFmtId="0" fontId="0" fillId="0" borderId="24" xfId="0" applyBorder="1"/>
    <xf numFmtId="0" fontId="10" fillId="0" borderId="21" xfId="0" applyFont="1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0" fillId="0" borderId="13" xfId="0" applyFont="1" applyFill="1" applyBorder="1" applyAlignment="1">
      <alignment horizontal="center"/>
    </xf>
    <xf numFmtId="0" fontId="0" fillId="0" borderId="0" xfId="0" applyAlignment="1">
      <alignment horizontal="center" vertical="top"/>
    </xf>
    <xf numFmtId="0" fontId="7" fillId="0" borderId="22" xfId="0" applyFont="1" applyFill="1" applyBorder="1" applyAlignment="1">
      <alignment horizontal="center" vertical="center" wrapText="1"/>
    </xf>
    <xf numFmtId="0" fontId="7" fillId="0" borderId="25" xfId="0" applyFont="1" applyFill="1" applyBorder="1" applyAlignment="1">
      <alignment horizontal="center" vertical="center" wrapText="1"/>
    </xf>
    <xf numFmtId="0" fontId="4" fillId="2" borderId="26" xfId="0" quotePrefix="1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top"/>
    </xf>
    <xf numFmtId="0" fontId="3" fillId="0" borderId="13" xfId="0" applyFont="1" applyBorder="1" applyAlignment="1">
      <alignment horizontal="center" vertical="center"/>
    </xf>
    <xf numFmtId="0" fontId="6" fillId="3" borderId="17" xfId="0" applyFont="1" applyFill="1" applyBorder="1" applyAlignment="1">
      <alignment vertical="center"/>
    </xf>
    <xf numFmtId="0" fontId="9" fillId="0" borderId="21" xfId="0" applyFont="1" applyBorder="1" applyAlignment="1">
      <alignment horizontal="right"/>
    </xf>
    <xf numFmtId="0" fontId="10" fillId="0" borderId="2" xfId="0" applyFont="1" applyBorder="1" applyAlignment="1">
      <alignment horizontal="left"/>
    </xf>
    <xf numFmtId="0" fontId="1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CE9D8"/>
      <rgbColor rgb="00000000"/>
      <rgbColor rgb="00ECE9D8"/>
      <rgbColor rgb="00000000"/>
      <rgbColor rgb="00FFFFFF"/>
      <rgbColor rgb="00000000"/>
      <rgbColor rgb="00FFFFFF"/>
      <rgbColor rgb="00000000"/>
      <rgbColor rgb="00ECE9D8"/>
      <rgbColor rgb="00000000"/>
      <rgbColor rgb="00F1EFE2"/>
      <rgbColor rgb="000000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J45"/>
  <sheetViews>
    <sheetView showGridLines="0" tabSelected="1" zoomScaleNormal="100" workbookViewId="0">
      <selection activeCell="A3" sqref="A3"/>
    </sheetView>
  </sheetViews>
  <sheetFormatPr defaultColWidth="29" defaultRowHeight="12.75" x14ac:dyDescent="0.2"/>
  <cols>
    <col min="1" max="1" width="9.7109375" style="1" bestFit="1" customWidth="1"/>
    <col min="2" max="2" width="16.140625" style="4" bestFit="1" customWidth="1"/>
    <col min="3" max="3" width="30.140625" style="4" bestFit="1" customWidth="1"/>
    <col min="4" max="4" width="23.140625" style="1" customWidth="1"/>
    <col min="5" max="5" width="12.7109375" style="1" bestFit="1" customWidth="1"/>
    <col min="6" max="6" width="8.140625" style="1" customWidth="1"/>
    <col min="7" max="7" width="11" style="44" customWidth="1"/>
    <col min="8" max="8" width="11.28515625" style="44" customWidth="1"/>
    <col min="9" max="9" width="12" style="44" customWidth="1"/>
    <col min="10" max="10" width="11.5703125" style="44" customWidth="1"/>
    <col min="11" max="16384" width="29" style="1"/>
  </cols>
  <sheetData>
    <row r="1" spans="1:10" x14ac:dyDescent="0.2">
      <c r="A1" s="29" t="s">
        <v>117</v>
      </c>
      <c r="B1" s="30"/>
      <c r="C1" s="30"/>
      <c r="D1" s="30"/>
      <c r="E1" s="30"/>
      <c r="F1" s="30"/>
      <c r="G1" s="30"/>
      <c r="H1" s="30"/>
      <c r="I1" s="30"/>
      <c r="J1" s="31"/>
    </row>
    <row r="2" spans="1:10" ht="22.5" customHeight="1" x14ac:dyDescent="0.2">
      <c r="A2" s="32"/>
      <c r="B2" s="33"/>
      <c r="C2" s="33"/>
      <c r="D2" s="33"/>
      <c r="E2" s="33"/>
      <c r="F2" s="33"/>
      <c r="G2" s="33"/>
      <c r="H2" s="33"/>
      <c r="I2" s="33"/>
      <c r="J2" s="34"/>
    </row>
    <row r="3" spans="1:10" ht="28.5" customHeight="1" thickBot="1" x14ac:dyDescent="0.35">
      <c r="A3" s="35"/>
      <c r="B3" s="51" t="s">
        <v>108</v>
      </c>
      <c r="C3" s="36" t="s">
        <v>116</v>
      </c>
      <c r="D3" s="37"/>
      <c r="E3" s="38" t="s">
        <v>109</v>
      </c>
      <c r="F3" s="53">
        <v>250</v>
      </c>
      <c r="G3" s="52" t="s">
        <v>110</v>
      </c>
      <c r="H3" s="35"/>
      <c r="I3" s="39"/>
      <c r="J3" s="40"/>
    </row>
    <row r="4" spans="1:10" s="2" customFormat="1" ht="12.75" customHeight="1" x14ac:dyDescent="0.2">
      <c r="A4" s="25" t="s">
        <v>2</v>
      </c>
      <c r="B4" s="23" t="s">
        <v>111</v>
      </c>
      <c r="C4" s="23" t="s">
        <v>33</v>
      </c>
      <c r="D4" s="23" t="s">
        <v>42</v>
      </c>
      <c r="E4" s="23" t="s">
        <v>79</v>
      </c>
      <c r="F4" s="50" t="s">
        <v>94</v>
      </c>
      <c r="G4" s="41" t="s">
        <v>112</v>
      </c>
      <c r="H4" s="41" t="s">
        <v>113</v>
      </c>
      <c r="I4" s="42" t="s">
        <v>114</v>
      </c>
      <c r="J4" s="43" t="s">
        <v>115</v>
      </c>
    </row>
    <row r="5" spans="1:10" s="3" customFormat="1" ht="25.5" x14ac:dyDescent="0.2">
      <c r="A5" s="26">
        <f>ROW(A5) - ROW($A$4)</f>
        <v>1</v>
      </c>
      <c r="B5" s="22" t="s">
        <v>14</v>
      </c>
      <c r="C5" s="22" t="s">
        <v>95</v>
      </c>
      <c r="D5" s="22" t="s">
        <v>43</v>
      </c>
      <c r="E5" s="22" t="s">
        <v>80</v>
      </c>
      <c r="F5" s="45">
        <v>11</v>
      </c>
      <c r="G5" s="49">
        <v>2</v>
      </c>
      <c r="H5" s="49">
        <f>G5*F5</f>
        <v>22</v>
      </c>
      <c r="I5" s="49">
        <f>F5*$F$3</f>
        <v>2750</v>
      </c>
      <c r="J5" s="49"/>
    </row>
    <row r="6" spans="1:10" s="3" customFormat="1" x14ac:dyDescent="0.2">
      <c r="A6" s="27">
        <f>ROW(A6) - ROW($A$4)</f>
        <v>2</v>
      </c>
      <c r="B6" s="20" t="s">
        <v>14</v>
      </c>
      <c r="C6" s="22" t="s">
        <v>95</v>
      </c>
      <c r="D6" s="20" t="s">
        <v>44</v>
      </c>
      <c r="E6" s="20" t="s">
        <v>80</v>
      </c>
      <c r="F6" s="46">
        <v>1</v>
      </c>
      <c r="G6" s="49">
        <v>2</v>
      </c>
      <c r="H6" s="49">
        <f t="shared" ref="H6:H40" si="0">G6*F6</f>
        <v>2</v>
      </c>
      <c r="I6" s="49">
        <f t="shared" ref="I6:I40" si="1">F6*$F$3</f>
        <v>250</v>
      </c>
      <c r="J6" s="49"/>
    </row>
    <row r="7" spans="1:10" s="3" customFormat="1" x14ac:dyDescent="0.2">
      <c r="A7" s="26">
        <f>ROW(A7) - ROW($A$4)</f>
        <v>3</v>
      </c>
      <c r="B7" s="22" t="s">
        <v>15</v>
      </c>
      <c r="C7" s="22" t="s">
        <v>95</v>
      </c>
      <c r="D7" s="22" t="s">
        <v>45</v>
      </c>
      <c r="E7" s="22" t="s">
        <v>81</v>
      </c>
      <c r="F7" s="45">
        <v>1</v>
      </c>
      <c r="G7" s="49">
        <v>2</v>
      </c>
      <c r="H7" s="49">
        <f t="shared" si="0"/>
        <v>2</v>
      </c>
      <c r="I7" s="49">
        <f t="shared" si="1"/>
        <v>250</v>
      </c>
      <c r="J7" s="49"/>
    </row>
    <row r="8" spans="1:10" s="3" customFormat="1" x14ac:dyDescent="0.2">
      <c r="A8" s="27">
        <f>ROW(A8) - ROW($A$4)</f>
        <v>4</v>
      </c>
      <c r="B8" s="20" t="s">
        <v>16</v>
      </c>
      <c r="C8" s="22" t="s">
        <v>95</v>
      </c>
      <c r="D8" s="20" t="s">
        <v>46</v>
      </c>
      <c r="E8" s="20" t="s">
        <v>80</v>
      </c>
      <c r="F8" s="46">
        <v>2</v>
      </c>
      <c r="G8" s="49">
        <v>2</v>
      </c>
      <c r="H8" s="49">
        <f t="shared" si="0"/>
        <v>4</v>
      </c>
      <c r="I8" s="49">
        <f t="shared" si="1"/>
        <v>500</v>
      </c>
      <c r="J8" s="49"/>
    </row>
    <row r="9" spans="1:10" s="3" customFormat="1" x14ac:dyDescent="0.2">
      <c r="A9" s="26">
        <f>ROW(A9) - ROW($A$4)</f>
        <v>5</v>
      </c>
      <c r="B9" s="22" t="s">
        <v>3</v>
      </c>
      <c r="C9" s="22" t="s">
        <v>95</v>
      </c>
      <c r="D9" s="22" t="s">
        <v>47</v>
      </c>
      <c r="E9" s="22" t="s">
        <v>80</v>
      </c>
      <c r="F9" s="45">
        <v>1</v>
      </c>
      <c r="G9" s="49">
        <v>2</v>
      </c>
      <c r="H9" s="49">
        <f t="shared" si="0"/>
        <v>2</v>
      </c>
      <c r="I9" s="49">
        <f t="shared" si="1"/>
        <v>250</v>
      </c>
      <c r="J9" s="49"/>
    </row>
    <row r="10" spans="1:10" s="3" customFormat="1" x14ac:dyDescent="0.2">
      <c r="A10" s="27">
        <f>ROW(A10) - ROW($A$4)</f>
        <v>6</v>
      </c>
      <c r="B10" s="20" t="s">
        <v>17</v>
      </c>
      <c r="C10" s="22" t="s">
        <v>95</v>
      </c>
      <c r="D10" s="20" t="s">
        <v>48</v>
      </c>
      <c r="E10" s="20" t="s">
        <v>80</v>
      </c>
      <c r="F10" s="46">
        <v>1</v>
      </c>
      <c r="G10" s="49">
        <v>2</v>
      </c>
      <c r="H10" s="49">
        <f t="shared" si="0"/>
        <v>2</v>
      </c>
      <c r="I10" s="49">
        <f t="shared" si="1"/>
        <v>250</v>
      </c>
      <c r="J10" s="49"/>
    </row>
    <row r="11" spans="1:10" s="3" customFormat="1" x14ac:dyDescent="0.2">
      <c r="A11" s="26">
        <f>ROW(A11) - ROW($A$4)</f>
        <v>7</v>
      </c>
      <c r="B11" s="22" t="s">
        <v>18</v>
      </c>
      <c r="C11" s="22" t="s">
        <v>95</v>
      </c>
      <c r="D11" s="22" t="s">
        <v>49</v>
      </c>
      <c r="E11" s="22" t="s">
        <v>80</v>
      </c>
      <c r="F11" s="45">
        <v>2</v>
      </c>
      <c r="G11" s="49">
        <v>2</v>
      </c>
      <c r="H11" s="49">
        <f t="shared" si="0"/>
        <v>4</v>
      </c>
      <c r="I11" s="49">
        <f t="shared" si="1"/>
        <v>500</v>
      </c>
      <c r="J11" s="49"/>
    </row>
    <row r="12" spans="1:10" s="3" customFormat="1" x14ac:dyDescent="0.2">
      <c r="A12" s="26">
        <f>ROW(A12) - ROW($A$4)</f>
        <v>8</v>
      </c>
      <c r="B12" s="22" t="s">
        <v>4</v>
      </c>
      <c r="C12" s="22" t="s">
        <v>35</v>
      </c>
      <c r="D12" s="22" t="s">
        <v>50</v>
      </c>
      <c r="E12" s="22" t="s">
        <v>82</v>
      </c>
      <c r="F12" s="45">
        <v>3</v>
      </c>
      <c r="G12" s="49">
        <v>2</v>
      </c>
      <c r="H12" s="49">
        <f t="shared" si="0"/>
        <v>6</v>
      </c>
      <c r="I12" s="49">
        <f t="shared" si="1"/>
        <v>750</v>
      </c>
      <c r="J12" s="49"/>
    </row>
    <row r="13" spans="1:10" s="3" customFormat="1" x14ac:dyDescent="0.2">
      <c r="A13" s="27">
        <f>ROW(A13) - ROW($A$4)</f>
        <v>9</v>
      </c>
      <c r="B13" s="20" t="s">
        <v>19</v>
      </c>
      <c r="C13" s="20" t="s">
        <v>36</v>
      </c>
      <c r="D13" s="20" t="s">
        <v>51</v>
      </c>
      <c r="E13" s="20" t="s">
        <v>82</v>
      </c>
      <c r="F13" s="46">
        <v>2</v>
      </c>
      <c r="G13" s="49">
        <v>2</v>
      </c>
      <c r="H13" s="49">
        <f t="shared" si="0"/>
        <v>4</v>
      </c>
      <c r="I13" s="49">
        <f t="shared" si="1"/>
        <v>500</v>
      </c>
      <c r="J13" s="49"/>
    </row>
    <row r="14" spans="1:10" s="3" customFormat="1" x14ac:dyDescent="0.2">
      <c r="A14" s="26">
        <f>ROW(A14) - ROW($A$4)</f>
        <v>10</v>
      </c>
      <c r="B14" s="22" t="s">
        <v>20</v>
      </c>
      <c r="C14" s="22" t="s">
        <v>96</v>
      </c>
      <c r="D14" s="22" t="s">
        <v>52</v>
      </c>
      <c r="E14" s="22" t="s">
        <v>83</v>
      </c>
      <c r="F14" s="45">
        <v>1</v>
      </c>
      <c r="G14" s="49">
        <v>2</v>
      </c>
      <c r="H14" s="49">
        <f t="shared" si="0"/>
        <v>2</v>
      </c>
      <c r="I14" s="49">
        <f t="shared" si="1"/>
        <v>250</v>
      </c>
      <c r="J14" s="49"/>
    </row>
    <row r="15" spans="1:10" s="3" customFormat="1" ht="25.5" x14ac:dyDescent="0.2">
      <c r="A15" s="27">
        <f>ROW(A15) - ROW($A$4)</f>
        <v>11</v>
      </c>
      <c r="B15" s="20" t="s">
        <v>21</v>
      </c>
      <c r="C15" s="20" t="s">
        <v>37</v>
      </c>
      <c r="D15" s="20" t="s">
        <v>53</v>
      </c>
      <c r="E15" s="20" t="s">
        <v>84</v>
      </c>
      <c r="F15" s="46">
        <v>1</v>
      </c>
      <c r="G15" s="49">
        <v>2</v>
      </c>
      <c r="H15" s="49">
        <f t="shared" si="0"/>
        <v>2</v>
      </c>
      <c r="I15" s="49">
        <f t="shared" si="1"/>
        <v>250</v>
      </c>
      <c r="J15" s="49"/>
    </row>
    <row r="16" spans="1:10" s="3" customFormat="1" x14ac:dyDescent="0.2">
      <c r="A16" s="26">
        <f>ROW(A16) - ROW($A$4)</f>
        <v>12</v>
      </c>
      <c r="B16" s="22" t="s">
        <v>22</v>
      </c>
      <c r="C16" s="22" t="s">
        <v>97</v>
      </c>
      <c r="D16" s="22" t="s">
        <v>54</v>
      </c>
      <c r="E16" s="22" t="s">
        <v>85</v>
      </c>
      <c r="F16" s="45">
        <v>1</v>
      </c>
      <c r="G16" s="49">
        <v>2</v>
      </c>
      <c r="H16" s="49">
        <f t="shared" si="0"/>
        <v>2</v>
      </c>
      <c r="I16" s="49">
        <f t="shared" si="1"/>
        <v>250</v>
      </c>
      <c r="J16" s="49"/>
    </row>
    <row r="17" spans="1:10" s="3" customFormat="1" x14ac:dyDescent="0.2">
      <c r="A17" s="27">
        <f>ROW(A17) - ROW($A$4)</f>
        <v>13</v>
      </c>
      <c r="B17" s="20" t="s">
        <v>5</v>
      </c>
      <c r="C17" s="20" t="s">
        <v>98</v>
      </c>
      <c r="D17" s="20" t="s">
        <v>55</v>
      </c>
      <c r="E17" s="20" t="s">
        <v>86</v>
      </c>
      <c r="F17" s="46">
        <v>1</v>
      </c>
      <c r="G17" s="49">
        <v>3</v>
      </c>
      <c r="H17" s="49">
        <f t="shared" si="0"/>
        <v>3</v>
      </c>
      <c r="I17" s="49">
        <f t="shared" si="1"/>
        <v>250</v>
      </c>
      <c r="J17" s="49"/>
    </row>
    <row r="18" spans="1:10" s="3" customFormat="1" x14ac:dyDescent="0.2">
      <c r="A18" s="26">
        <f>ROW(A18) - ROW($A$4)</f>
        <v>14</v>
      </c>
      <c r="B18" s="22" t="s">
        <v>6</v>
      </c>
      <c r="C18" s="22" t="s">
        <v>38</v>
      </c>
      <c r="D18" s="22" t="s">
        <v>56</v>
      </c>
      <c r="E18" s="22" t="s">
        <v>87</v>
      </c>
      <c r="F18" s="45">
        <v>1</v>
      </c>
      <c r="G18" s="49">
        <v>3</v>
      </c>
      <c r="H18" s="49">
        <f t="shared" si="0"/>
        <v>3</v>
      </c>
      <c r="I18" s="49">
        <f t="shared" si="1"/>
        <v>250</v>
      </c>
      <c r="J18" s="49"/>
    </row>
    <row r="19" spans="1:10" s="3" customFormat="1" x14ac:dyDescent="0.2">
      <c r="A19" s="27">
        <f>ROW(A19) - ROW($A$4)</f>
        <v>15</v>
      </c>
      <c r="B19" s="20" t="s">
        <v>7</v>
      </c>
      <c r="C19" s="20" t="s">
        <v>39</v>
      </c>
      <c r="D19" s="20" t="s">
        <v>57</v>
      </c>
      <c r="E19" s="20" t="s">
        <v>87</v>
      </c>
      <c r="F19" s="46">
        <v>1</v>
      </c>
      <c r="G19" s="49">
        <v>3</v>
      </c>
      <c r="H19" s="49">
        <f t="shared" si="0"/>
        <v>3</v>
      </c>
      <c r="I19" s="49">
        <f t="shared" si="1"/>
        <v>250</v>
      </c>
      <c r="J19" s="49"/>
    </row>
    <row r="20" spans="1:10" s="3" customFormat="1" x14ac:dyDescent="0.2">
      <c r="A20" s="26">
        <f>ROW(A20) - ROW($A$4)</f>
        <v>16</v>
      </c>
      <c r="B20" s="22" t="s">
        <v>8</v>
      </c>
      <c r="C20" s="22" t="s">
        <v>98</v>
      </c>
      <c r="D20" s="22" t="s">
        <v>58</v>
      </c>
      <c r="E20" s="22" t="s">
        <v>86</v>
      </c>
      <c r="F20" s="45">
        <v>1</v>
      </c>
      <c r="G20" s="49">
        <v>3</v>
      </c>
      <c r="H20" s="49">
        <f t="shared" si="0"/>
        <v>3</v>
      </c>
      <c r="I20" s="49">
        <f t="shared" si="1"/>
        <v>250</v>
      </c>
      <c r="J20" s="49"/>
    </row>
    <row r="21" spans="1:10" s="3" customFormat="1" ht="25.5" x14ac:dyDescent="0.2">
      <c r="A21" s="27">
        <f>ROW(A21) - ROW($A$4)</f>
        <v>17</v>
      </c>
      <c r="B21" s="20" t="s">
        <v>23</v>
      </c>
      <c r="C21" s="20" t="s">
        <v>40</v>
      </c>
      <c r="D21" s="20" t="s">
        <v>59</v>
      </c>
      <c r="E21" s="20" t="s">
        <v>84</v>
      </c>
      <c r="F21" s="46">
        <v>7</v>
      </c>
      <c r="G21" s="49">
        <v>2</v>
      </c>
      <c r="H21" s="49">
        <f t="shared" si="0"/>
        <v>14</v>
      </c>
      <c r="I21" s="49">
        <f t="shared" si="1"/>
        <v>1750</v>
      </c>
      <c r="J21" s="49"/>
    </row>
    <row r="22" spans="1:10" s="3" customFormat="1" x14ac:dyDescent="0.2">
      <c r="A22" s="26">
        <f>ROW(A22) - ROW($A$4)</f>
        <v>18</v>
      </c>
      <c r="B22" s="22" t="s">
        <v>24</v>
      </c>
      <c r="C22" s="22" t="s">
        <v>40</v>
      </c>
      <c r="D22" s="22" t="s">
        <v>60</v>
      </c>
      <c r="E22" s="22" t="s">
        <v>84</v>
      </c>
      <c r="F22" s="45">
        <v>4</v>
      </c>
      <c r="G22" s="49">
        <v>2</v>
      </c>
      <c r="H22" s="49">
        <f t="shared" si="0"/>
        <v>8</v>
      </c>
      <c r="I22" s="49">
        <f t="shared" si="1"/>
        <v>1000</v>
      </c>
      <c r="J22" s="49"/>
    </row>
    <row r="23" spans="1:10" s="3" customFormat="1" x14ac:dyDescent="0.2">
      <c r="A23" s="27">
        <f>ROW(A23) - ROW($A$4)</f>
        <v>19</v>
      </c>
      <c r="B23" s="20" t="s">
        <v>25</v>
      </c>
      <c r="C23" s="20" t="s">
        <v>40</v>
      </c>
      <c r="D23" s="20" t="s">
        <v>61</v>
      </c>
      <c r="E23" s="20" t="s">
        <v>84</v>
      </c>
      <c r="F23" s="46">
        <v>1</v>
      </c>
      <c r="G23" s="49">
        <v>2</v>
      </c>
      <c r="H23" s="49">
        <f t="shared" si="0"/>
        <v>2</v>
      </c>
      <c r="I23" s="49">
        <f t="shared" si="1"/>
        <v>250</v>
      </c>
      <c r="J23" s="49"/>
    </row>
    <row r="24" spans="1:10" s="3" customFormat="1" x14ac:dyDescent="0.2">
      <c r="A24" s="26">
        <f>ROW(A24) - ROW($A$4)</f>
        <v>20</v>
      </c>
      <c r="B24" s="22" t="s">
        <v>26</v>
      </c>
      <c r="C24" s="22" t="s">
        <v>40</v>
      </c>
      <c r="D24" s="22" t="s">
        <v>62</v>
      </c>
      <c r="E24" s="22" t="s">
        <v>84</v>
      </c>
      <c r="F24" s="45">
        <v>1</v>
      </c>
      <c r="G24" s="49">
        <v>2</v>
      </c>
      <c r="H24" s="49">
        <f t="shared" si="0"/>
        <v>2</v>
      </c>
      <c r="I24" s="49">
        <f t="shared" si="1"/>
        <v>250</v>
      </c>
      <c r="J24" s="49"/>
    </row>
    <row r="25" spans="1:10" s="3" customFormat="1" x14ac:dyDescent="0.2">
      <c r="A25" s="27">
        <f>ROW(A25) - ROW($A$4)</f>
        <v>21</v>
      </c>
      <c r="B25" s="20" t="s">
        <v>27</v>
      </c>
      <c r="C25" s="20" t="s">
        <v>40</v>
      </c>
      <c r="D25" s="20" t="s">
        <v>63</v>
      </c>
      <c r="E25" s="20" t="s">
        <v>88</v>
      </c>
      <c r="F25" s="46">
        <v>1</v>
      </c>
      <c r="G25" s="49">
        <v>2</v>
      </c>
      <c r="H25" s="49">
        <f t="shared" si="0"/>
        <v>2</v>
      </c>
      <c r="I25" s="49">
        <f t="shared" si="1"/>
        <v>250</v>
      </c>
      <c r="J25" s="49"/>
    </row>
    <row r="26" spans="1:10" s="3" customFormat="1" x14ac:dyDescent="0.2">
      <c r="A26" s="26">
        <f>ROW(A26) - ROW($A$4)</f>
        <v>22</v>
      </c>
      <c r="B26" s="22" t="s">
        <v>28</v>
      </c>
      <c r="C26" s="22" t="s">
        <v>40</v>
      </c>
      <c r="D26" s="22" t="s">
        <v>64</v>
      </c>
      <c r="E26" s="22" t="s">
        <v>88</v>
      </c>
      <c r="F26" s="45">
        <v>2</v>
      </c>
      <c r="G26" s="49">
        <v>2</v>
      </c>
      <c r="H26" s="49">
        <f t="shared" si="0"/>
        <v>4</v>
      </c>
      <c r="I26" s="49">
        <f t="shared" si="1"/>
        <v>500</v>
      </c>
      <c r="J26" s="49"/>
    </row>
    <row r="27" spans="1:10" s="3" customFormat="1" x14ac:dyDescent="0.2">
      <c r="A27" s="27">
        <f>ROW(A27) - ROW($A$4)</f>
        <v>23</v>
      </c>
      <c r="B27" s="20" t="s">
        <v>28</v>
      </c>
      <c r="C27" s="20" t="s">
        <v>40</v>
      </c>
      <c r="D27" s="20" t="s">
        <v>65</v>
      </c>
      <c r="E27" s="20" t="s">
        <v>84</v>
      </c>
      <c r="F27" s="46">
        <v>2</v>
      </c>
      <c r="G27" s="49">
        <v>2</v>
      </c>
      <c r="H27" s="49">
        <f t="shared" si="0"/>
        <v>4</v>
      </c>
      <c r="I27" s="49">
        <f t="shared" si="1"/>
        <v>500</v>
      </c>
      <c r="J27" s="49"/>
    </row>
    <row r="28" spans="1:10" s="3" customFormat="1" x14ac:dyDescent="0.2">
      <c r="A28" s="26">
        <f>ROW(A28) - ROW($A$4)</f>
        <v>24</v>
      </c>
      <c r="B28" s="22" t="s">
        <v>29</v>
      </c>
      <c r="C28" s="22" t="s">
        <v>40</v>
      </c>
      <c r="D28" s="22" t="s">
        <v>66</v>
      </c>
      <c r="E28" s="22" t="s">
        <v>84</v>
      </c>
      <c r="F28" s="45">
        <v>1</v>
      </c>
      <c r="G28" s="49">
        <v>2</v>
      </c>
      <c r="H28" s="49">
        <f t="shared" si="0"/>
        <v>2</v>
      </c>
      <c r="I28" s="49">
        <f t="shared" si="1"/>
        <v>250</v>
      </c>
      <c r="J28" s="49"/>
    </row>
    <row r="29" spans="1:10" s="3" customFormat="1" ht="25.5" x14ac:dyDescent="0.2">
      <c r="A29" s="27">
        <f>ROW(A29) - ROW($A$4)</f>
        <v>25</v>
      </c>
      <c r="B29" s="20" t="s">
        <v>3</v>
      </c>
      <c r="C29" s="20" t="s">
        <v>40</v>
      </c>
      <c r="D29" s="20" t="s">
        <v>67</v>
      </c>
      <c r="E29" s="20" t="s">
        <v>84</v>
      </c>
      <c r="F29" s="46">
        <v>7</v>
      </c>
      <c r="G29" s="49">
        <v>0</v>
      </c>
      <c r="H29" s="49">
        <f t="shared" si="0"/>
        <v>0</v>
      </c>
      <c r="I29" s="49">
        <f t="shared" si="1"/>
        <v>1750</v>
      </c>
      <c r="J29" s="49"/>
    </row>
    <row r="30" spans="1:10" s="3" customFormat="1" x14ac:dyDescent="0.2">
      <c r="A30" s="26">
        <f>ROW(A30) - ROW($A$4)</f>
        <v>26</v>
      </c>
      <c r="B30" s="22" t="s">
        <v>30</v>
      </c>
      <c r="C30" s="22" t="s">
        <v>40</v>
      </c>
      <c r="D30" s="22" t="s">
        <v>68</v>
      </c>
      <c r="E30" s="22" t="s">
        <v>89</v>
      </c>
      <c r="F30" s="45">
        <v>1</v>
      </c>
      <c r="G30" s="49">
        <v>2</v>
      </c>
      <c r="H30" s="49">
        <f t="shared" si="0"/>
        <v>2</v>
      </c>
      <c r="I30" s="49">
        <f t="shared" si="1"/>
        <v>250</v>
      </c>
      <c r="J30" s="49"/>
    </row>
    <row r="31" spans="1:10" s="3" customFormat="1" x14ac:dyDescent="0.2">
      <c r="A31" s="27">
        <f>ROW(A31) - ROW($A$4)</f>
        <v>27</v>
      </c>
      <c r="B31" s="20" t="s">
        <v>31</v>
      </c>
      <c r="C31" s="20" t="s">
        <v>40</v>
      </c>
      <c r="D31" s="20" t="s">
        <v>69</v>
      </c>
      <c r="E31" s="20" t="s">
        <v>84</v>
      </c>
      <c r="F31" s="46">
        <v>1</v>
      </c>
      <c r="G31" s="49">
        <v>2</v>
      </c>
      <c r="H31" s="49">
        <f t="shared" si="0"/>
        <v>2</v>
      </c>
      <c r="I31" s="49">
        <f t="shared" si="1"/>
        <v>250</v>
      </c>
      <c r="J31" s="49"/>
    </row>
    <row r="32" spans="1:10" s="3" customFormat="1" x14ac:dyDescent="0.2">
      <c r="A32" s="26">
        <f>ROW(A32) - ROW($A$4)</f>
        <v>28</v>
      </c>
      <c r="B32" s="22" t="s">
        <v>99</v>
      </c>
      <c r="C32" s="22" t="s">
        <v>104</v>
      </c>
      <c r="D32" s="22" t="s">
        <v>70</v>
      </c>
      <c r="E32" s="22" t="s">
        <v>90</v>
      </c>
      <c r="F32" s="45">
        <v>1</v>
      </c>
      <c r="G32" s="49">
        <v>28</v>
      </c>
      <c r="H32" s="49">
        <f t="shared" si="0"/>
        <v>28</v>
      </c>
      <c r="I32" s="49">
        <f t="shared" si="1"/>
        <v>250</v>
      </c>
      <c r="J32" s="49"/>
    </row>
    <row r="33" spans="1:10" s="3" customFormat="1" x14ac:dyDescent="0.2">
      <c r="A33" s="27">
        <f>ROW(A33) - ROW($A$4)</f>
        <v>29</v>
      </c>
      <c r="B33" s="20" t="s">
        <v>9</v>
      </c>
      <c r="C33" s="20" t="s">
        <v>103</v>
      </c>
      <c r="D33" s="20" t="s">
        <v>71</v>
      </c>
      <c r="E33" s="20" t="s">
        <v>91</v>
      </c>
      <c r="F33" s="46">
        <v>1</v>
      </c>
      <c r="G33" s="49">
        <v>8</v>
      </c>
      <c r="H33" s="49">
        <f t="shared" si="0"/>
        <v>8</v>
      </c>
      <c r="I33" s="49">
        <f t="shared" si="1"/>
        <v>250</v>
      </c>
      <c r="J33" s="49"/>
    </row>
    <row r="34" spans="1:10" s="3" customFormat="1" x14ac:dyDescent="0.2">
      <c r="A34" s="26">
        <f>ROW(A34) - ROW($A$4)</f>
        <v>30</v>
      </c>
      <c r="B34" s="22" t="s">
        <v>100</v>
      </c>
      <c r="C34" s="22" t="s">
        <v>102</v>
      </c>
      <c r="D34" s="22" t="s">
        <v>72</v>
      </c>
      <c r="E34" s="22" t="s">
        <v>92</v>
      </c>
      <c r="F34" s="45">
        <v>1</v>
      </c>
      <c r="G34" s="49">
        <v>3</v>
      </c>
      <c r="H34" s="49">
        <f t="shared" si="0"/>
        <v>3</v>
      </c>
      <c r="I34" s="49">
        <f t="shared" si="1"/>
        <v>250</v>
      </c>
      <c r="J34" s="49"/>
    </row>
    <row r="35" spans="1:10" s="3" customFormat="1" x14ac:dyDescent="0.2">
      <c r="A35" s="27">
        <f>ROW(A35) - ROW($A$4)</f>
        <v>31</v>
      </c>
      <c r="B35" s="20" t="s">
        <v>10</v>
      </c>
      <c r="C35" s="20" t="s">
        <v>101</v>
      </c>
      <c r="D35" s="20" t="s">
        <v>73</v>
      </c>
      <c r="E35" s="20" t="s">
        <v>91</v>
      </c>
      <c r="F35" s="46">
        <v>1</v>
      </c>
      <c r="G35" s="49">
        <v>8</v>
      </c>
      <c r="H35" s="49">
        <f t="shared" si="0"/>
        <v>8</v>
      </c>
      <c r="I35" s="49">
        <f t="shared" si="1"/>
        <v>250</v>
      </c>
      <c r="J35" s="49"/>
    </row>
    <row r="36" spans="1:10" s="3" customFormat="1" x14ac:dyDescent="0.2">
      <c r="A36" s="26">
        <f>ROW(A36) - ROW($A$4)</f>
        <v>32</v>
      </c>
      <c r="B36" s="22" t="s">
        <v>11</v>
      </c>
      <c r="C36" s="22" t="s">
        <v>105</v>
      </c>
      <c r="D36" s="22" t="s">
        <v>74</v>
      </c>
      <c r="E36" s="22" t="s">
        <v>86</v>
      </c>
      <c r="F36" s="45">
        <v>2</v>
      </c>
      <c r="G36" s="49">
        <v>3</v>
      </c>
      <c r="H36" s="49">
        <f t="shared" si="0"/>
        <v>6</v>
      </c>
      <c r="I36" s="49">
        <f t="shared" si="1"/>
        <v>500</v>
      </c>
      <c r="J36" s="49"/>
    </row>
    <row r="37" spans="1:10" s="3" customFormat="1" x14ac:dyDescent="0.2">
      <c r="A37" s="27">
        <f>ROW(A37) - ROW($A$4)</f>
        <v>33</v>
      </c>
      <c r="B37" s="20" t="s">
        <v>12</v>
      </c>
      <c r="C37" s="20" t="s">
        <v>41</v>
      </c>
      <c r="D37" s="20" t="s">
        <v>75</v>
      </c>
      <c r="E37" s="20" t="s">
        <v>91</v>
      </c>
      <c r="F37" s="46">
        <v>1</v>
      </c>
      <c r="G37" s="49">
        <v>8</v>
      </c>
      <c r="H37" s="49">
        <f t="shared" si="0"/>
        <v>8</v>
      </c>
      <c r="I37" s="49">
        <f t="shared" si="1"/>
        <v>250</v>
      </c>
      <c r="J37" s="49"/>
    </row>
    <row r="38" spans="1:10" s="3" customFormat="1" x14ac:dyDescent="0.2">
      <c r="A38" s="26">
        <f>ROW(A38) - ROW($A$4)</f>
        <v>34</v>
      </c>
      <c r="B38" s="22" t="s">
        <v>3</v>
      </c>
      <c r="C38" s="22" t="s">
        <v>34</v>
      </c>
      <c r="D38" s="22" t="s">
        <v>76</v>
      </c>
      <c r="E38" s="22" t="s">
        <v>92</v>
      </c>
      <c r="F38" s="45">
        <v>1</v>
      </c>
      <c r="G38" s="49">
        <v>0</v>
      </c>
      <c r="H38" s="49">
        <f t="shared" si="0"/>
        <v>0</v>
      </c>
      <c r="I38" s="49">
        <f t="shared" si="1"/>
        <v>250</v>
      </c>
      <c r="J38" s="49"/>
    </row>
    <row r="39" spans="1:10" s="3" customFormat="1" x14ac:dyDescent="0.2">
      <c r="A39" s="27">
        <f>ROW(A39) - ROW($A$4)</f>
        <v>35</v>
      </c>
      <c r="B39" s="20" t="s">
        <v>13</v>
      </c>
      <c r="C39" s="20" t="s">
        <v>107</v>
      </c>
      <c r="D39" s="20" t="s">
        <v>77</v>
      </c>
      <c r="E39" s="20" t="s">
        <v>93</v>
      </c>
      <c r="F39" s="46">
        <v>1</v>
      </c>
      <c r="G39" s="49">
        <v>48</v>
      </c>
      <c r="H39" s="49">
        <f t="shared" si="0"/>
        <v>48</v>
      </c>
      <c r="I39" s="49">
        <f t="shared" si="1"/>
        <v>250</v>
      </c>
      <c r="J39" s="49"/>
    </row>
    <row r="40" spans="1:10" s="3" customFormat="1" x14ac:dyDescent="0.2">
      <c r="A40" s="26">
        <f>ROW(A40) - ROW($A$4)</f>
        <v>36</v>
      </c>
      <c r="B40" s="22" t="s">
        <v>32</v>
      </c>
      <c r="C40" s="22" t="s">
        <v>106</v>
      </c>
      <c r="D40" s="22" t="s">
        <v>78</v>
      </c>
      <c r="E40" s="22" t="s">
        <v>91</v>
      </c>
      <c r="F40" s="45">
        <v>1</v>
      </c>
      <c r="G40" s="49">
        <v>8</v>
      </c>
      <c r="H40" s="49">
        <f t="shared" si="0"/>
        <v>8</v>
      </c>
      <c r="I40" s="49">
        <f t="shared" si="1"/>
        <v>250</v>
      </c>
      <c r="J40" s="49"/>
    </row>
    <row r="41" spans="1:10" x14ac:dyDescent="0.2">
      <c r="A41" s="28" t="s">
        <v>0</v>
      </c>
      <c r="B41" s="18"/>
      <c r="C41" s="17"/>
      <c r="D41" s="19" t="s">
        <v>1</v>
      </c>
      <c r="E41" s="21"/>
      <c r="F41" s="47">
        <f>SUM(F5:F40)</f>
        <v>69</v>
      </c>
      <c r="G41" s="48"/>
      <c r="H41" s="48"/>
      <c r="I41" s="48"/>
      <c r="J41" s="48"/>
    </row>
    <row r="42" spans="1:10" x14ac:dyDescent="0.2">
      <c r="A42" s="24"/>
      <c r="B42" s="6"/>
      <c r="C42" s="8"/>
      <c r="D42" s="5"/>
      <c r="E42" s="5"/>
      <c r="F42" s="13"/>
    </row>
    <row r="43" spans="1:10" x14ac:dyDescent="0.2">
      <c r="A43" s="24"/>
      <c r="B43" s="7"/>
      <c r="C43" s="9"/>
      <c r="D43" s="6"/>
      <c r="E43" s="6"/>
      <c r="F43" s="14"/>
    </row>
    <row r="44" spans="1:10" x14ac:dyDescent="0.2">
      <c r="A44" s="24"/>
      <c r="B44" s="7"/>
      <c r="C44" s="9"/>
      <c r="D44" s="6"/>
      <c r="E44" s="6"/>
      <c r="F44" s="14"/>
    </row>
    <row r="45" spans="1:10" ht="13.5" thickBot="1" x14ac:dyDescent="0.25">
      <c r="A45" s="16"/>
      <c r="B45" s="12"/>
      <c r="C45" s="10"/>
      <c r="D45" s="11"/>
      <c r="E45" s="11"/>
      <c r="F45" s="15"/>
    </row>
  </sheetData>
  <mergeCells count="1">
    <mergeCell ref="A1:J2"/>
  </mergeCells>
  <phoneticPr fontId="0" type="noConversion"/>
  <printOptions horizontalCentered="1"/>
  <pageMargins left="0.5" right="0" top="0.80555555599999995" bottom="0.55555555599999995" header="0" footer="0"/>
  <pageSetup paperSize="9" scale="98" fitToHeight="0" pageOrder="overThenDown" orientation="landscape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 List Report</vt:lpstr>
    </vt:vector>
  </TitlesOfParts>
  <Company>Altium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Ravikant</dc:creator>
  <cp:lastModifiedBy>Ravikant</cp:lastModifiedBy>
  <cp:lastPrinted>2023-04-26T02:15:44Z</cp:lastPrinted>
  <dcterms:created xsi:type="dcterms:W3CDTF">2002-11-05T15:28:02Z</dcterms:created>
  <dcterms:modified xsi:type="dcterms:W3CDTF">2023-04-26T02:15:54Z</dcterms:modified>
</cp:coreProperties>
</file>