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Company_Project\Evalley\Price_Meter\Nuvoton\Repository\Auto_Board\PCBV8_2\Project Outputs for Auto_OBD\"/>
    </mc:Choice>
  </mc:AlternateContent>
  <bookViews>
    <workbookView xWindow="0" yWindow="0" windowWidth="23040" windowHeight="8835"/>
  </bookViews>
  <sheets>
    <sheet name="Part List Report" sheetId="3" r:id="rId1"/>
    <sheet name="Project Information" sheetId="4" r:id="rId2"/>
  </sheets>
  <calcPr calcId="162913"/>
</workbook>
</file>

<file path=xl/calcChain.xml><?xml version="1.0" encoding="utf-8"?>
<calcChain xmlns="http://schemas.openxmlformats.org/spreadsheetml/2006/main">
  <c r="A65" i="3" l="1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 l="1"/>
  <c r="A10" i="3"/>
  <c r="D8" i="3"/>
  <c r="E8" i="3"/>
</calcChain>
</file>

<file path=xl/sharedStrings.xml><?xml version="1.0" encoding="utf-8"?>
<sst xmlns="http://schemas.openxmlformats.org/spreadsheetml/2006/main" count="314" uniqueCount="190">
  <si>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</si>
  <si>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</si>
  <si>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</si>
  <si>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</si>
  <si>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</si>
  <si>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</si>
  <si>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</si>
  <si>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</si>
  <si>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</si>
  <si>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</si>
  <si>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</si>
  <si>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</si>
  <si>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</si>
  <si>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</si>
  <si>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</si>
  <si>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</si>
  <si>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</si>
  <si>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</si>
  <si>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</si>
  <si>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Approved</t>
  </si>
  <si>
    <t>Notes</t>
  </si>
  <si>
    <t>Total Actual Price</t>
  </si>
  <si>
    <t>Total Target Price</t>
  </si>
  <si>
    <t>Bill Of Material</t>
  </si>
  <si>
    <t>No.</t>
  </si>
  <si>
    <t>Bill of Materials for Project [Auto_OBD.PrjPCB] (No PCB Document Selected)</t>
  </si>
  <si>
    <t>Auto_OBD.PrjPCB</t>
  </si>
  <si>
    <t>None</t>
  </si>
  <si>
    <t>4/18/2023</t>
  </si>
  <si>
    <t>4:01 PM</t>
  </si>
  <si>
    <t>99</t>
  </si>
  <si>
    <t>Manufacturer Part Number</t>
  </si>
  <si>
    <t>Standard</t>
  </si>
  <si>
    <t>TCC0603X7R104K500CT</t>
  </si>
  <si>
    <t>CL10A106MP8NNNC</t>
  </si>
  <si>
    <t>DNP</t>
  </si>
  <si>
    <t/>
  </si>
  <si>
    <t>SWPA6045S220MT</t>
  </si>
  <si>
    <t>Custom</t>
  </si>
  <si>
    <t>BC847</t>
  </si>
  <si>
    <t>MJD122</t>
  </si>
  <si>
    <t>BC857</t>
  </si>
  <si>
    <t>TM1640</t>
  </si>
  <si>
    <t>SN65HVD1050DR</t>
  </si>
  <si>
    <t>LD1117AG-33-AA3-A-R</t>
  </si>
  <si>
    <t>LM358</t>
  </si>
  <si>
    <t>UH8104</t>
  </si>
  <si>
    <t>uP9602SW8</t>
  </si>
  <si>
    <t>STM32F072C8T6</t>
  </si>
  <si>
    <t>Comment</t>
  </si>
  <si>
    <t>100uF/16V</t>
  </si>
  <si>
    <t>0.1uF/50V</t>
  </si>
  <si>
    <t>220uF/16V</t>
  </si>
  <si>
    <t>1000uF/25V</t>
  </si>
  <si>
    <t>1000uF/50V</t>
  </si>
  <si>
    <t>10uF</t>
  </si>
  <si>
    <t>3.3nF</t>
  </si>
  <si>
    <t>18pF/50V</t>
  </si>
  <si>
    <t>Red LED</t>
  </si>
  <si>
    <t>Green</t>
  </si>
  <si>
    <t>Yellow</t>
  </si>
  <si>
    <t>M7</t>
  </si>
  <si>
    <t>12V/0.5W</t>
  </si>
  <si>
    <t>0.56 CA</t>
  </si>
  <si>
    <t>0.3 CA</t>
  </si>
  <si>
    <t>22uH/1.8A</t>
  </si>
  <si>
    <t>Buzzer</t>
  </si>
  <si>
    <t>2515-4</t>
  </si>
  <si>
    <t>Wire Harness</t>
  </si>
  <si>
    <t>5 Pin Header</t>
  </si>
  <si>
    <t>2515-2</t>
  </si>
  <si>
    <t>2515-5</t>
  </si>
  <si>
    <t>2P4M</t>
  </si>
  <si>
    <t>10K</t>
  </si>
  <si>
    <t>4.7K</t>
  </si>
  <si>
    <t>120R</t>
  </si>
  <si>
    <t>0R</t>
  </si>
  <si>
    <t>1K</t>
  </si>
  <si>
    <t>2.2K</t>
  </si>
  <si>
    <t>100K</t>
  </si>
  <si>
    <t>0.062R</t>
  </si>
  <si>
    <t>3R3</t>
  </si>
  <si>
    <t>LED Driver</t>
  </si>
  <si>
    <t xml:space="preserve">3.3V  LDO </t>
  </si>
  <si>
    <t>24C02</t>
  </si>
  <si>
    <t>32.768KHz</t>
  </si>
  <si>
    <t>Description</t>
  </si>
  <si>
    <t>Cell Battery</t>
  </si>
  <si>
    <t>Zener Diode</t>
  </si>
  <si>
    <t>Resistor</t>
  </si>
  <si>
    <t>Magnetic Transducer Buzzer</t>
  </si>
  <si>
    <t>Header, 4-Pin</t>
  </si>
  <si>
    <t>Header, 5-Pin</t>
  </si>
  <si>
    <t>Silicon Controlled Rectifier</t>
  </si>
  <si>
    <t>NPN Darlington Bipolar Transistor</t>
  </si>
  <si>
    <t>CAN Transceiver</t>
  </si>
  <si>
    <t>DC-to-DC Converter Control Circuit</t>
  </si>
  <si>
    <t>Crystal Oscillator</t>
  </si>
  <si>
    <t>Designator</t>
  </si>
  <si>
    <t>BT1</t>
  </si>
  <si>
    <t>C1</t>
  </si>
  <si>
    <t>C2, C3, C5, C6, C7, C8, C12, C14, C17, C19</t>
  </si>
  <si>
    <t>C4</t>
  </si>
  <si>
    <t>C9</t>
  </si>
  <si>
    <t>C10</t>
  </si>
  <si>
    <t>C11</t>
  </si>
  <si>
    <t>C13</t>
  </si>
  <si>
    <t>C15, C20</t>
  </si>
  <si>
    <t>C16</t>
  </si>
  <si>
    <t>C18</t>
  </si>
  <si>
    <t>C21, C22</t>
  </si>
  <si>
    <t>D1, D4</t>
  </si>
  <si>
    <t>D2</t>
  </si>
  <si>
    <t>D3</t>
  </si>
  <si>
    <t>D5, D8</t>
  </si>
  <si>
    <t>D6, D7</t>
  </si>
  <si>
    <t>D9</t>
  </si>
  <si>
    <t>DS1, DS2, DS3, DS4, DS5</t>
  </si>
  <si>
    <t>DS6, DS7, DS8, DS9, DS10, DS11, DS12, DS13</t>
  </si>
  <si>
    <t>F1</t>
  </si>
  <si>
    <t>L1, R15</t>
  </si>
  <si>
    <t>L2</t>
  </si>
  <si>
    <t>LS1</t>
  </si>
  <si>
    <t>P1</t>
  </si>
  <si>
    <t>P2</t>
  </si>
  <si>
    <t>P3</t>
  </si>
  <si>
    <t>P4</t>
  </si>
  <si>
    <t>P5</t>
  </si>
  <si>
    <t>P6</t>
  </si>
  <si>
    <t>Q1</t>
  </si>
  <si>
    <t>Q2</t>
  </si>
  <si>
    <t>Q3</t>
  </si>
  <si>
    <t>Q7</t>
  </si>
  <si>
    <t>R1, R2, R3, R10, R20, R32</t>
  </si>
  <si>
    <t>R4, R5, R6, R31</t>
  </si>
  <si>
    <t>R7</t>
  </si>
  <si>
    <t>R8</t>
  </si>
  <si>
    <t>R9</t>
  </si>
  <si>
    <t>R11, R16</t>
  </si>
  <si>
    <t>R12, R33</t>
  </si>
  <si>
    <t>R13</t>
  </si>
  <si>
    <t>R14, R17, R18, R19, R21, R24, R25</t>
  </si>
  <si>
    <t>R22</t>
  </si>
  <si>
    <t>R23</t>
  </si>
  <si>
    <t>TJ1</t>
  </si>
  <si>
    <t>U1</t>
  </si>
  <si>
    <t>U2</t>
  </si>
  <si>
    <t>U3</t>
  </si>
  <si>
    <t>U4</t>
  </si>
  <si>
    <t>U4, U5</t>
  </si>
  <si>
    <t>U6</t>
  </si>
  <si>
    <t>U6_1</t>
  </si>
  <si>
    <t>U7</t>
  </si>
  <si>
    <t>U8</t>
  </si>
  <si>
    <t>Y1</t>
  </si>
  <si>
    <t>Case/Package</t>
  </si>
  <si>
    <t>CR2032</t>
  </si>
  <si>
    <t>D6xH7</t>
  </si>
  <si>
    <t>C0603</t>
  </si>
  <si>
    <t>D6xH12</t>
  </si>
  <si>
    <t>D10xH17</t>
  </si>
  <si>
    <t>D13xH25</t>
  </si>
  <si>
    <t>5mm</t>
  </si>
  <si>
    <t>SMA</t>
  </si>
  <si>
    <t>LL-41</t>
  </si>
  <si>
    <t>0.56</t>
  </si>
  <si>
    <t>0.3"</t>
  </si>
  <si>
    <t>1812</t>
  </si>
  <si>
    <t>R0603</t>
  </si>
  <si>
    <t>6x6x4.5</t>
  </si>
  <si>
    <t>D12xH10</t>
  </si>
  <si>
    <t>HDR1x4</t>
  </si>
  <si>
    <t>HDR1x5</t>
  </si>
  <si>
    <t>SOT-23</t>
  </si>
  <si>
    <t>TO252</t>
  </si>
  <si>
    <t>R1206</t>
  </si>
  <si>
    <t>R1210</t>
  </si>
  <si>
    <t>SOP28</t>
  </si>
  <si>
    <t>SOIC-8</t>
  </si>
  <si>
    <t>SOT-223</t>
  </si>
  <si>
    <t>TQFP48</t>
  </si>
  <si>
    <t>DT-26</t>
  </si>
  <si>
    <t>Quantity</t>
  </si>
  <si>
    <t>D:\Company_Project\Evalley\Price_Meter\Nuvoton\Repository\Auto_Board\PCBV8_2\Auto_OBD.PrjPCB</t>
  </si>
  <si>
    <t>4/18/2023 4:01 PM</t>
  </si>
  <si>
    <t>Bill of Materials</t>
  </si>
  <si>
    <t>BOM_PartType</t>
  </si>
  <si>
    <t>BOM</t>
  </si>
  <si>
    <t>&lt;Parameter TotalActualPrice not found&gt;</t>
  </si>
  <si>
    <t>&lt;Parameter TotalTargetPrice not found&gt;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</si>
</sst>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C09]dd\-mmm\-yy;@"/>
    <numFmt numFmtId="165" formatCode="[$-409]h:mm:ss\ AM/PM;@"/>
  </numFmts>
  <fonts count="1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3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2"/>
      <color rgb="FF002060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1" fillId="2" borderId="0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2" xfId="0" applyNumberFormat="1" applyFont="1" applyFill="1" applyBorder="1" applyAlignment="1" applyProtection="1">
      <alignment horizontal="left" vertical="top"/>
      <protection locked="0"/>
    </xf>
    <xf numFmtId="0" fontId="1" fillId="0" borderId="3" xfId="0" applyNumberFormat="1" applyFont="1" applyFill="1" applyBorder="1" applyAlignment="1" applyProtection="1">
      <alignment horizontal="left" vertical="top"/>
      <protection locked="0"/>
    </xf>
    <xf numFmtId="0" fontId="1" fillId="0" borderId="4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vertical="top"/>
      <protection locked="0"/>
    </xf>
    <xf numFmtId="0" fontId="1" fillId="0" borderId="6" xfId="0" applyNumberFormat="1" applyFont="1" applyFill="1" applyBorder="1" applyAlignment="1" applyProtection="1">
      <alignment vertical="top"/>
      <protection locked="0"/>
    </xf>
    <xf numFmtId="0" fontId="1" fillId="0" borderId="7" xfId="0" applyNumberFormat="1" applyFont="1" applyFill="1" applyBorder="1" applyAlignment="1" applyProtection="1">
      <alignment vertical="top"/>
      <protection locked="0"/>
    </xf>
    <xf numFmtId="0" fontId="1" fillId="0" borderId="8" xfId="0" applyNumberFormat="1" applyFont="1" applyFill="1" applyBorder="1" applyAlignment="1" applyProtection="1">
      <alignment vertical="top"/>
      <protection locked="0"/>
    </xf>
    <xf numFmtId="0" fontId="6" fillId="3" borderId="0" xfId="0" applyFont="1" applyFill="1" applyBorder="1" applyAlignment="1"/>
    <xf numFmtId="0" fontId="7" fillId="3" borderId="0" xfId="0" applyFont="1" applyFill="1" applyBorder="1" applyAlignment="1">
      <alignment horizontal="left"/>
    </xf>
    <xf numFmtId="0" fontId="7" fillId="3" borderId="7" xfId="0" applyFont="1" applyFill="1" applyBorder="1" applyAlignment="1"/>
    <xf numFmtId="0" fontId="7" fillId="3" borderId="9" xfId="0" applyFont="1" applyFill="1" applyBorder="1" applyAlignment="1"/>
    <xf numFmtId="0" fontId="6" fillId="3" borderId="10" xfId="0" applyFont="1" applyFill="1" applyBorder="1" applyAlignment="1">
      <alignment horizontal="left"/>
    </xf>
    <xf numFmtId="0" fontId="7" fillId="3" borderId="10" xfId="0" applyFont="1" applyFill="1" applyBorder="1" applyAlignment="1"/>
    <xf numFmtId="0" fontId="6" fillId="3" borderId="10" xfId="0" applyFont="1" applyFill="1" applyBorder="1" applyAlignment="1"/>
    <xf numFmtId="0" fontId="7" fillId="3" borderId="10" xfId="0" applyFont="1" applyFill="1" applyBorder="1" applyAlignment="1">
      <alignment horizontal="left"/>
    </xf>
    <xf numFmtId="0" fontId="6" fillId="3" borderId="7" xfId="0" applyFont="1" applyFill="1" applyBorder="1" applyAlignment="1"/>
    <xf numFmtId="0" fontId="8" fillId="3" borderId="0" xfId="0" applyFont="1" applyFill="1" applyBorder="1" applyAlignment="1"/>
    <xf numFmtId="0" fontId="10" fillId="2" borderId="0" xfId="0" applyFont="1" applyFill="1" applyBorder="1" applyAlignment="1">
      <alignment horizontal="left" vertical="center"/>
    </xf>
    <xf numFmtId="0" fontId="10" fillId="4" borderId="0" xfId="0" applyFont="1" applyFill="1" applyBorder="1" applyAlignment="1">
      <alignment horizontal="left" vertical="center"/>
    </xf>
    <xf numFmtId="0" fontId="11" fillId="4" borderId="0" xfId="0" applyFont="1" applyFill="1" applyBorder="1" applyAlignment="1">
      <alignment horizontal="left" vertical="center"/>
    </xf>
    <xf numFmtId="0" fontId="1" fillId="0" borderId="12" xfId="0" applyNumberFormat="1" applyFont="1" applyFill="1" applyBorder="1" applyAlignment="1" applyProtection="1">
      <alignment vertical="top"/>
      <protection locked="0"/>
    </xf>
    <xf numFmtId="0" fontId="1" fillId="0" borderId="13" xfId="0" applyNumberFormat="1" applyFont="1" applyFill="1" applyBorder="1" applyAlignment="1" applyProtection="1">
      <alignment horizontal="left" vertical="top"/>
      <protection locked="0"/>
    </xf>
    <xf numFmtId="0" fontId="1" fillId="0" borderId="9" xfId="0" applyNumberFormat="1" applyFont="1" applyFill="1" applyBorder="1" applyAlignment="1" applyProtection="1">
      <alignment horizontal="left" vertical="top"/>
      <protection locked="0"/>
    </xf>
    <xf numFmtId="0" fontId="13" fillId="0" borderId="10" xfId="0" applyNumberFormat="1" applyFont="1" applyFill="1" applyBorder="1" applyAlignment="1" applyProtection="1">
      <alignment horizontal="left" vertical="top"/>
      <protection locked="0"/>
    </xf>
    <xf numFmtId="0" fontId="5" fillId="6" borderId="5" xfId="0" applyFont="1" applyFill="1" applyBorder="1" applyAlignment="1">
      <alignment vertical="center"/>
    </xf>
    <xf numFmtId="0" fontId="4" fillId="6" borderId="8" xfId="0" applyFont="1" applyFill="1" applyBorder="1" applyAlignment="1"/>
    <xf numFmtId="49" fontId="17" fillId="0" borderId="15" xfId="0" applyNumberFormat="1" applyFont="1" applyFill="1" applyBorder="1" applyAlignment="1">
      <alignment vertical="center" wrapText="1"/>
    </xf>
    <xf numFmtId="0" fontId="0" fillId="0" borderId="10" xfId="0" applyBorder="1" applyAlignment="1">
      <alignment vertical="top"/>
    </xf>
    <xf numFmtId="0" fontId="0" fillId="0" borderId="0" xfId="0" applyBorder="1" applyAlignment="1">
      <alignment horizontal="left" vertical="top"/>
    </xf>
    <xf numFmtId="0" fontId="0" fillId="0" borderId="16" xfId="0" applyBorder="1" applyAlignment="1">
      <alignment vertical="top"/>
    </xf>
    <xf numFmtId="49" fontId="17" fillId="0" borderId="17" xfId="0" applyNumberFormat="1" applyFont="1" applyFill="1" applyBorder="1" applyAlignment="1">
      <alignment vertical="center" wrapText="1"/>
    </xf>
    <xf numFmtId="0" fontId="4" fillId="6" borderId="11" xfId="0" applyFont="1" applyFill="1" applyBorder="1" applyAlignment="1"/>
    <xf numFmtId="0" fontId="4" fillId="6" borderId="18" xfId="0" applyFont="1" applyFill="1" applyBorder="1" applyAlignment="1"/>
    <xf numFmtId="0" fontId="0" fillId="0" borderId="12" xfId="0" applyBorder="1" applyAlignment="1">
      <alignment vertical="top"/>
    </xf>
    <xf numFmtId="0" fontId="7" fillId="3" borderId="5" xfId="0" applyFont="1" applyFill="1" applyBorder="1" applyAlignment="1"/>
    <xf numFmtId="164" fontId="7" fillId="3" borderId="5" xfId="0" applyNumberFormat="1" applyFont="1" applyFill="1" applyBorder="1" applyAlignment="1">
      <alignment horizontal="left"/>
    </xf>
    <xf numFmtId="165" fontId="7" fillId="3" borderId="5" xfId="0" applyNumberFormat="1" applyFont="1" applyFill="1" applyBorder="1" applyAlignment="1">
      <alignment horizontal="left"/>
    </xf>
    <xf numFmtId="0" fontId="8" fillId="3" borderId="5" xfId="0" applyFont="1" applyFill="1" applyBorder="1" applyAlignment="1"/>
    <xf numFmtId="0" fontId="7" fillId="3" borderId="8" xfId="0" applyFont="1" applyFill="1" applyBorder="1" applyAlignment="1"/>
    <xf numFmtId="49" fontId="15" fillId="5" borderId="20" xfId="0" applyNumberFormat="1" applyFont="1" applyFill="1" applyBorder="1" applyAlignment="1">
      <alignment vertical="center"/>
    </xf>
    <xf numFmtId="0" fontId="15" fillId="5" borderId="21" xfId="0" applyFont="1" applyFill="1" applyBorder="1" applyAlignment="1">
      <alignment vertical="center"/>
    </xf>
    <xf numFmtId="0" fontId="0" fillId="0" borderId="22" xfId="0" applyBorder="1" applyAlignment="1">
      <alignment vertical="top"/>
    </xf>
    <xf numFmtId="0" fontId="9" fillId="3" borderId="0" xfId="0" applyFont="1" applyFill="1" applyBorder="1" applyAlignment="1">
      <alignment vertical="center"/>
    </xf>
    <xf numFmtId="0" fontId="4" fillId="6" borderId="23" xfId="0" applyFont="1" applyFill="1" applyBorder="1" applyAlignment="1"/>
    <xf numFmtId="0" fontId="4" fillId="6" borderId="24" xfId="0" applyFont="1" applyFill="1" applyBorder="1" applyAlignment="1"/>
    <xf numFmtId="0" fontId="1" fillId="0" borderId="16" xfId="0" applyNumberFormat="1" applyFont="1" applyFill="1" applyBorder="1" applyAlignment="1" applyProtection="1">
      <alignment vertical="top"/>
      <protection locked="0"/>
    </xf>
    <xf numFmtId="0" fontId="17" fillId="0" borderId="27" xfId="0" applyFont="1" applyFill="1" applyBorder="1" applyAlignment="1">
      <alignment horizontal="center" vertical="center" wrapText="1"/>
    </xf>
    <xf numFmtId="0" fontId="17" fillId="0" borderId="29" xfId="0" applyFont="1" applyFill="1" applyBorder="1" applyAlignment="1">
      <alignment horizontal="center" vertical="center" wrapText="1"/>
    </xf>
    <xf numFmtId="0" fontId="15" fillId="5" borderId="19" xfId="0" applyFont="1" applyFill="1" applyBorder="1" applyAlignment="1">
      <alignment horizontal="center" vertical="center"/>
    </xf>
    <xf numFmtId="0" fontId="17" fillId="0" borderId="26" xfId="0" applyFont="1" applyFill="1" applyBorder="1" applyAlignment="1">
      <alignment horizontal="center" vertical="center" wrapText="1"/>
    </xf>
    <xf numFmtId="0" fontId="17" fillId="0" borderId="28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vertical="center"/>
    </xf>
    <xf numFmtId="0" fontId="13" fillId="0" borderId="25" xfId="0" applyNumberFormat="1" applyFont="1" applyFill="1" applyBorder="1" applyAlignment="1" applyProtection="1">
      <alignment horizontal="left" vertical="top"/>
      <protection locked="0"/>
    </xf>
    <xf numFmtId="0" fontId="13" fillId="0" borderId="9" xfId="0" applyNumberFormat="1" applyFont="1" applyFill="1" applyBorder="1" applyAlignment="1" applyProtection="1">
      <alignment horizontal="left" vertical="top"/>
      <protection locked="0"/>
    </xf>
    <xf numFmtId="0" fontId="16" fillId="6" borderId="12" xfId="0" quotePrefix="1" applyFont="1" applyFill="1" applyBorder="1" applyAlignment="1">
      <alignment vertical="center"/>
    </xf>
    <xf numFmtId="0" fontId="6" fillId="3" borderId="0" xfId="0" quotePrefix="1" applyFont="1" applyFill="1" applyBorder="1" applyAlignment="1">
      <alignment horizontal="left"/>
    </xf>
    <xf numFmtId="0" fontId="6" fillId="3" borderId="9" xfId="0" quotePrefix="1" applyFont="1" applyFill="1" applyBorder="1" applyAlignment="1">
      <alignment horizontal="left"/>
    </xf>
    <xf numFmtId="0" fontId="6" fillId="3" borderId="10" xfId="0" quotePrefix="1" applyFont="1" applyFill="1" applyBorder="1" applyAlignment="1">
      <alignment horizontal="left"/>
    </xf>
    <xf numFmtId="0" fontId="7" fillId="3" borderId="1" xfId="0" quotePrefix="1" applyFont="1" applyFill="1" applyBorder="1" applyAlignment="1">
      <alignment horizontal="left"/>
    </xf>
    <xf numFmtId="0" fontId="12" fillId="3" borderId="14" xfId="0" quotePrefix="1" applyFont="1" applyFill="1" applyBorder="1" applyAlignment="1">
      <alignment horizontal="center" vertical="center" wrapText="1"/>
    </xf>
    <xf numFmtId="0" fontId="11" fillId="4" borderId="11" xfId="0" quotePrefix="1" applyFont="1" applyFill="1" applyBorder="1" applyAlignment="1">
      <alignment horizontal="left" vertical="center"/>
    </xf>
    <xf numFmtId="0" fontId="11" fillId="2" borderId="0" xfId="0" quotePrefix="1" applyFont="1" applyFill="1" applyBorder="1" applyAlignment="1">
      <alignment horizontal="left" vertical="center"/>
    </xf>
    <xf numFmtId="0" fontId="11" fillId="4" borderId="0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79"/>
  <sheetViews>
    <sheetView showGridLines="0" tabSelected="1" zoomScaleNormal="100" workbookViewId="0">
      <selection activeCell="E27" sqref="E27"/>
    </sheetView>
  </sheetViews>
  <sheetFormatPr defaultRowHeight="12.75" x14ac:dyDescent="0.2"/>
  <cols>
    <col min="1" max="1" width="5.42578125" style="1" customWidth="1"/>
    <col min="2" max="2" width="25.140625" style="4" customWidth="1"/>
    <col min="3" max="3" width="17" style="4" customWidth="1"/>
    <col min="4" max="4" width="42.140625" style="4" customWidth="1"/>
    <col min="5" max="5" width="39.28515625" style="1" customWidth="1"/>
    <col min="6" max="6" width="12" style="1" customWidth="1"/>
    <col min="7" max="7" width="8.42578125" style="1" customWidth="1"/>
    <col min="8" max="16384" width="9.140625" style="1"/>
  </cols>
  <sheetData>
    <row r="1" spans="1:7" ht="13.5" thickBot="1" x14ac:dyDescent="0.25">
      <c r="A1" s="53"/>
      <c r="B1" s="54"/>
      <c r="C1" s="54"/>
      <c r="D1" s="41"/>
      <c r="E1" s="41"/>
      <c r="F1" s="41"/>
      <c r="G1" s="42"/>
    </row>
    <row r="2" spans="1:7" ht="37.5" customHeight="1" thickBot="1" x14ac:dyDescent="0.25">
      <c r="A2" s="39"/>
      <c r="B2" s="52" t="s">
        <v>23</v>
      </c>
      <c r="C2" s="52"/>
      <c r="D2" s="64" t="s">
        <v>25</v>
      </c>
      <c r="E2" s="61"/>
      <c r="F2" s="34"/>
      <c r="G2" s="35"/>
    </row>
    <row r="3" spans="1:7" ht="23.25" customHeight="1" x14ac:dyDescent="0.2">
      <c r="A3" s="39"/>
      <c r="B3" s="17" t="s">
        <v>14</v>
      </c>
      <c r="C3" s="17"/>
      <c r="D3" s="18"/>
      <c r="E3" s="65" t="s">
        <v>26</v>
      </c>
      <c r="F3" s="17"/>
      <c r="G3" s="19"/>
    </row>
    <row r="4" spans="1:7" ht="17.25" customHeight="1" x14ac:dyDescent="0.2">
      <c r="A4" s="39"/>
      <c r="B4" s="17" t="s">
        <v>15</v>
      </c>
      <c r="C4" s="17"/>
      <c r="D4" s="18"/>
      <c r="E4" s="66" t="s">
        <v>26</v>
      </c>
      <c r="F4" s="20"/>
      <c r="G4" s="19"/>
    </row>
    <row r="5" spans="1:7" ht="17.25" customHeight="1" x14ac:dyDescent="0.2">
      <c r="A5" s="39"/>
      <c r="B5" s="17" t="s">
        <v>16</v>
      </c>
      <c r="C5" s="17"/>
      <c r="D5" s="18"/>
      <c r="E5" s="67" t="s">
        <v>27</v>
      </c>
      <c r="F5" s="22"/>
      <c r="G5" s="19"/>
    </row>
    <row r="6" spans="1:7" x14ac:dyDescent="0.2">
      <c r="A6" s="39"/>
      <c r="B6" s="23"/>
      <c r="C6" s="23"/>
      <c r="D6" s="21"/>
      <c r="E6" s="24"/>
      <c r="F6" s="22"/>
      <c r="G6" s="25"/>
    </row>
    <row r="7" spans="1:7" ht="15.75" customHeight="1" x14ac:dyDescent="0.2">
      <c r="A7" s="51"/>
      <c r="B7" s="26" t="s">
        <v>18</v>
      </c>
      <c r="C7" s="26"/>
      <c r="D7" s="68" t="s">
        <v>28</v>
      </c>
      <c r="E7" s="68" t="s">
        <v>29</v>
      </c>
      <c r="F7" s="26"/>
      <c r="G7" s="19"/>
    </row>
    <row r="8" spans="1:7" ht="15.75" customHeight="1" thickBot="1" x14ac:dyDescent="0.25">
      <c r="A8" s="43"/>
      <c r="B8" s="44" t="s">
        <v>17</v>
      </c>
      <c r="C8" s="44"/>
      <c r="D8" s="45">
        <f ca="1">TODAY()</f>
        <v>45034</v>
      </c>
      <c r="E8" s="46">
        <f ca="1">NOW()</f>
        <v>45034.667900231485</v>
      </c>
      <c r="F8" s="47"/>
      <c r="G8" s="48"/>
    </row>
    <row r="9" spans="1:7" s="2" customFormat="1" ht="18" customHeight="1" x14ac:dyDescent="0.2">
      <c r="A9" s="58" t="s">
        <v>24</v>
      </c>
      <c r="B9" s="49" t="s">
        <v>31</v>
      </c>
      <c r="C9" s="49" t="s">
        <v>49</v>
      </c>
      <c r="D9" s="49" t="s">
        <v>86</v>
      </c>
      <c r="E9" s="49" t="s">
        <v>98</v>
      </c>
      <c r="F9" s="49" t="s">
        <v>155</v>
      </c>
      <c r="G9" s="50" t="s">
        <v>182</v>
      </c>
    </row>
    <row r="10" spans="1:7" s="3" customFormat="1" x14ac:dyDescent="0.2">
      <c r="A10" s="59">
        <f>ROW(A10) - ROW($A$9)</f>
        <v>1</v>
      </c>
      <c r="B10" s="40"/>
      <c r="C10" s="40" t="s">
        <v>36</v>
      </c>
      <c r="D10" s="40" t="s">
        <v>87</v>
      </c>
      <c r="E10" s="40" t="s">
        <v>99</v>
      </c>
      <c r="F10" s="40" t="s">
        <v>156</v>
      </c>
      <c r="G10" s="56">
        <v>1</v>
      </c>
    </row>
    <row r="11" spans="1:7" s="3" customFormat="1" x14ac:dyDescent="0.2">
      <c r="A11" s="60">
        <f>ROW(A11) - ROW($A$9)</f>
        <v>2</v>
      </c>
      <c r="B11" s="36" t="s">
        <v>32</v>
      </c>
      <c r="C11" s="36" t="s">
        <v>50</v>
      </c>
      <c r="D11" s="36" t="s">
        <v>36</v>
      </c>
      <c r="E11" s="36" t="s">
        <v>100</v>
      </c>
      <c r="F11" s="36" t="s">
        <v>157</v>
      </c>
      <c r="G11" s="57">
        <v>1</v>
      </c>
    </row>
    <row r="12" spans="1:7" s="3" customFormat="1" x14ac:dyDescent="0.2">
      <c r="A12" s="59">
        <f>ROW(A12) - ROW($A$9)</f>
        <v>3</v>
      </c>
      <c r="B12" s="40" t="s">
        <v>33</v>
      </c>
      <c r="C12" s="40" t="s">
        <v>51</v>
      </c>
      <c r="D12" s="40" t="s">
        <v>36</v>
      </c>
      <c r="E12" s="40" t="s">
        <v>101</v>
      </c>
      <c r="F12" s="40" t="s">
        <v>158</v>
      </c>
      <c r="G12" s="56">
        <v>10</v>
      </c>
    </row>
    <row r="13" spans="1:7" s="3" customFormat="1" x14ac:dyDescent="0.2">
      <c r="A13" s="60">
        <f>ROW(A13) - ROW($A$9)</f>
        <v>4</v>
      </c>
      <c r="B13" s="36" t="s">
        <v>32</v>
      </c>
      <c r="C13" s="36" t="s">
        <v>52</v>
      </c>
      <c r="D13" s="36" t="s">
        <v>36</v>
      </c>
      <c r="E13" s="36" t="s">
        <v>102</v>
      </c>
      <c r="F13" s="36" t="s">
        <v>159</v>
      </c>
      <c r="G13" s="57">
        <v>1</v>
      </c>
    </row>
    <row r="14" spans="1:7" s="3" customFormat="1" x14ac:dyDescent="0.2">
      <c r="A14" s="59">
        <f>ROW(A14) - ROW($A$9)</f>
        <v>5</v>
      </c>
      <c r="B14" s="40"/>
      <c r="C14" s="40" t="s">
        <v>36</v>
      </c>
      <c r="D14" s="40" t="s">
        <v>36</v>
      </c>
      <c r="E14" s="40" t="s">
        <v>103</v>
      </c>
      <c r="F14" s="40" t="s">
        <v>158</v>
      </c>
      <c r="G14" s="56">
        <v>1</v>
      </c>
    </row>
    <row r="15" spans="1:7" s="3" customFormat="1" x14ac:dyDescent="0.2">
      <c r="A15" s="60">
        <f>ROW(A15) - ROW($A$9)</f>
        <v>6</v>
      </c>
      <c r="B15" s="36" t="s">
        <v>32</v>
      </c>
      <c r="C15" s="36" t="s">
        <v>53</v>
      </c>
      <c r="D15" s="36" t="s">
        <v>36</v>
      </c>
      <c r="E15" s="36" t="s">
        <v>104</v>
      </c>
      <c r="F15" s="36" t="s">
        <v>160</v>
      </c>
      <c r="G15" s="57">
        <v>1</v>
      </c>
    </row>
    <row r="16" spans="1:7" s="3" customFormat="1" x14ac:dyDescent="0.2">
      <c r="A16" s="59">
        <f>ROW(A16) - ROW($A$9)</f>
        <v>7</v>
      </c>
      <c r="B16" s="40" t="s">
        <v>33</v>
      </c>
      <c r="C16" s="40" t="s">
        <v>51</v>
      </c>
      <c r="D16" s="40" t="s">
        <v>36</v>
      </c>
      <c r="E16" s="40" t="s">
        <v>105</v>
      </c>
      <c r="F16" s="40" t="s">
        <v>158</v>
      </c>
      <c r="G16" s="56">
        <v>1</v>
      </c>
    </row>
    <row r="17" spans="1:7" s="3" customFormat="1" x14ac:dyDescent="0.2">
      <c r="A17" s="60">
        <f>ROW(A17) - ROW($A$9)</f>
        <v>8</v>
      </c>
      <c r="B17" s="36" t="s">
        <v>32</v>
      </c>
      <c r="C17" s="36" t="s">
        <v>54</v>
      </c>
      <c r="D17" s="36" t="s">
        <v>36</v>
      </c>
      <c r="E17" s="36" t="s">
        <v>106</v>
      </c>
      <c r="F17" s="36" t="s">
        <v>161</v>
      </c>
      <c r="G17" s="57">
        <v>1</v>
      </c>
    </row>
    <row r="18" spans="1:7" s="3" customFormat="1" x14ac:dyDescent="0.2">
      <c r="A18" s="59">
        <f>ROW(A18) - ROW($A$9)</f>
        <v>9</v>
      </c>
      <c r="B18" s="40" t="s">
        <v>34</v>
      </c>
      <c r="C18" s="40" t="s">
        <v>55</v>
      </c>
      <c r="D18" s="40" t="s">
        <v>36</v>
      </c>
      <c r="E18" s="40" t="s">
        <v>107</v>
      </c>
      <c r="F18" s="40" t="s">
        <v>158</v>
      </c>
      <c r="G18" s="56">
        <v>2</v>
      </c>
    </row>
    <row r="19" spans="1:7" s="3" customFormat="1" x14ac:dyDescent="0.2">
      <c r="A19" s="60">
        <f>ROW(A19) - ROW($A$9)</f>
        <v>10</v>
      </c>
      <c r="B19" s="36" t="s">
        <v>35</v>
      </c>
      <c r="C19" s="36" t="s">
        <v>35</v>
      </c>
      <c r="D19" s="36" t="s">
        <v>36</v>
      </c>
      <c r="E19" s="36" t="s">
        <v>108</v>
      </c>
      <c r="F19" s="36" t="s">
        <v>158</v>
      </c>
      <c r="G19" s="57">
        <v>1</v>
      </c>
    </row>
    <row r="20" spans="1:7" s="3" customFormat="1" x14ac:dyDescent="0.2">
      <c r="A20" s="59">
        <f>ROW(A20) - ROW($A$9)</f>
        <v>11</v>
      </c>
      <c r="B20" s="40"/>
      <c r="C20" s="40" t="s">
        <v>56</v>
      </c>
      <c r="D20" s="40" t="s">
        <v>36</v>
      </c>
      <c r="E20" s="40" t="s">
        <v>109</v>
      </c>
      <c r="F20" s="40" t="s">
        <v>158</v>
      </c>
      <c r="G20" s="56">
        <v>1</v>
      </c>
    </row>
    <row r="21" spans="1:7" s="3" customFormat="1" x14ac:dyDescent="0.2">
      <c r="A21" s="60">
        <f>ROW(A21) - ROW($A$9)</f>
        <v>12</v>
      </c>
      <c r="B21" s="36" t="s">
        <v>36</v>
      </c>
      <c r="C21" s="36" t="s">
        <v>57</v>
      </c>
      <c r="D21" s="36" t="s">
        <v>36</v>
      </c>
      <c r="E21" s="36" t="s">
        <v>110</v>
      </c>
      <c r="F21" s="36" t="s">
        <v>158</v>
      </c>
      <c r="G21" s="57">
        <v>2</v>
      </c>
    </row>
    <row r="22" spans="1:7" s="3" customFormat="1" x14ac:dyDescent="0.2">
      <c r="A22" s="59">
        <f>ROW(A22) - ROW($A$9)</f>
        <v>13</v>
      </c>
      <c r="B22" s="40" t="s">
        <v>32</v>
      </c>
      <c r="C22" s="40" t="s">
        <v>58</v>
      </c>
      <c r="D22" s="40" t="s">
        <v>36</v>
      </c>
      <c r="E22" s="40" t="s">
        <v>111</v>
      </c>
      <c r="F22" s="40" t="s">
        <v>162</v>
      </c>
      <c r="G22" s="56">
        <v>2</v>
      </c>
    </row>
    <row r="23" spans="1:7" s="3" customFormat="1" x14ac:dyDescent="0.2">
      <c r="A23" s="60">
        <f>ROW(A23) - ROW($A$9)</f>
        <v>14</v>
      </c>
      <c r="B23" s="36" t="s">
        <v>32</v>
      </c>
      <c r="C23" s="36" t="s">
        <v>59</v>
      </c>
      <c r="D23" s="36" t="s">
        <v>36</v>
      </c>
      <c r="E23" s="36" t="s">
        <v>112</v>
      </c>
      <c r="F23" s="36" t="s">
        <v>162</v>
      </c>
      <c r="G23" s="57">
        <v>1</v>
      </c>
    </row>
    <row r="24" spans="1:7" s="3" customFormat="1" x14ac:dyDescent="0.2">
      <c r="A24" s="59">
        <f>ROW(A24) - ROW($A$9)</f>
        <v>15</v>
      </c>
      <c r="B24" s="40" t="s">
        <v>32</v>
      </c>
      <c r="C24" s="40" t="s">
        <v>60</v>
      </c>
      <c r="D24" s="40" t="s">
        <v>36</v>
      </c>
      <c r="E24" s="40" t="s">
        <v>113</v>
      </c>
      <c r="F24" s="40" t="s">
        <v>162</v>
      </c>
      <c r="G24" s="56">
        <v>1</v>
      </c>
    </row>
    <row r="25" spans="1:7" s="3" customFormat="1" x14ac:dyDescent="0.2">
      <c r="A25" s="60">
        <f>ROW(A25) - ROW($A$9)</f>
        <v>16</v>
      </c>
      <c r="B25" s="36" t="s">
        <v>36</v>
      </c>
      <c r="C25" s="36" t="s">
        <v>61</v>
      </c>
      <c r="D25" s="36" t="s">
        <v>36</v>
      </c>
      <c r="E25" s="36" t="s">
        <v>114</v>
      </c>
      <c r="F25" s="36" t="s">
        <v>163</v>
      </c>
      <c r="G25" s="57">
        <v>2</v>
      </c>
    </row>
    <row r="26" spans="1:7" s="3" customFormat="1" x14ac:dyDescent="0.2">
      <c r="A26" s="59">
        <f>ROW(A26) - ROW($A$9)</f>
        <v>17</v>
      </c>
      <c r="B26" s="40" t="s">
        <v>36</v>
      </c>
      <c r="C26" s="40" t="s">
        <v>62</v>
      </c>
      <c r="D26" s="40" t="s">
        <v>88</v>
      </c>
      <c r="E26" s="40" t="s">
        <v>115</v>
      </c>
      <c r="F26" s="40" t="s">
        <v>164</v>
      </c>
      <c r="G26" s="56">
        <v>2</v>
      </c>
    </row>
    <row r="27" spans="1:7" s="3" customFormat="1" x14ac:dyDescent="0.2">
      <c r="A27" s="60">
        <f>ROW(A27) - ROW($A$9)</f>
        <v>18</v>
      </c>
      <c r="B27" s="36"/>
      <c r="C27" s="36" t="s">
        <v>61</v>
      </c>
      <c r="D27" s="36" t="s">
        <v>36</v>
      </c>
      <c r="E27" s="36" t="s">
        <v>116</v>
      </c>
      <c r="F27" s="36" t="s">
        <v>163</v>
      </c>
      <c r="G27" s="57">
        <v>1</v>
      </c>
    </row>
    <row r="28" spans="1:7" s="3" customFormat="1" x14ac:dyDescent="0.2">
      <c r="A28" s="59">
        <f>ROW(A28) - ROW($A$9)</f>
        <v>19</v>
      </c>
      <c r="B28" s="40" t="s">
        <v>32</v>
      </c>
      <c r="C28" s="40" t="s">
        <v>63</v>
      </c>
      <c r="D28" s="40" t="s">
        <v>36</v>
      </c>
      <c r="E28" s="40" t="s">
        <v>117</v>
      </c>
      <c r="F28" s="40" t="s">
        <v>165</v>
      </c>
      <c r="G28" s="56">
        <v>5</v>
      </c>
    </row>
    <row r="29" spans="1:7" s="3" customFormat="1" ht="25.5" x14ac:dyDescent="0.2">
      <c r="A29" s="60">
        <f>ROW(A29) - ROW($A$9)</f>
        <v>20</v>
      </c>
      <c r="B29" s="36" t="s">
        <v>32</v>
      </c>
      <c r="C29" s="36" t="s">
        <v>64</v>
      </c>
      <c r="D29" s="36" t="s">
        <v>36</v>
      </c>
      <c r="E29" s="36" t="s">
        <v>118</v>
      </c>
      <c r="F29" s="36" t="s">
        <v>166</v>
      </c>
      <c r="G29" s="57">
        <v>8</v>
      </c>
    </row>
    <row r="30" spans="1:7" s="3" customFormat="1" x14ac:dyDescent="0.2">
      <c r="A30" s="59">
        <f>ROW(A30) - ROW($A$9)</f>
        <v>21</v>
      </c>
      <c r="B30" s="40"/>
      <c r="C30" s="40" t="s">
        <v>36</v>
      </c>
      <c r="D30" s="40" t="s">
        <v>36</v>
      </c>
      <c r="E30" s="40" t="s">
        <v>119</v>
      </c>
      <c r="F30" s="40" t="s">
        <v>167</v>
      </c>
      <c r="G30" s="56">
        <v>1</v>
      </c>
    </row>
    <row r="31" spans="1:7" s="3" customFormat="1" x14ac:dyDescent="0.2">
      <c r="A31" s="60">
        <f>ROW(A31) - ROW($A$9)</f>
        <v>22</v>
      </c>
      <c r="B31" s="36" t="s">
        <v>36</v>
      </c>
      <c r="C31" s="36" t="s">
        <v>36</v>
      </c>
      <c r="D31" s="36" t="s">
        <v>89</v>
      </c>
      <c r="E31" s="36" t="s">
        <v>120</v>
      </c>
      <c r="F31" s="36" t="s">
        <v>168</v>
      </c>
      <c r="G31" s="57">
        <v>2</v>
      </c>
    </row>
    <row r="32" spans="1:7" s="3" customFormat="1" x14ac:dyDescent="0.2">
      <c r="A32" s="59">
        <f>ROW(A32) - ROW($A$9)</f>
        <v>23</v>
      </c>
      <c r="B32" s="40" t="s">
        <v>37</v>
      </c>
      <c r="C32" s="40" t="s">
        <v>65</v>
      </c>
      <c r="D32" s="40" t="s">
        <v>36</v>
      </c>
      <c r="E32" s="40" t="s">
        <v>121</v>
      </c>
      <c r="F32" s="40" t="s">
        <v>169</v>
      </c>
      <c r="G32" s="56">
        <v>1</v>
      </c>
    </row>
    <row r="33" spans="1:7" s="3" customFormat="1" x14ac:dyDescent="0.2">
      <c r="A33" s="60">
        <f>ROW(A33) - ROW($A$9)</f>
        <v>24</v>
      </c>
      <c r="B33" s="36" t="s">
        <v>32</v>
      </c>
      <c r="C33" s="36" t="s">
        <v>66</v>
      </c>
      <c r="D33" s="36" t="s">
        <v>90</v>
      </c>
      <c r="E33" s="36" t="s">
        <v>122</v>
      </c>
      <c r="F33" s="36" t="s">
        <v>170</v>
      </c>
      <c r="G33" s="57">
        <v>1</v>
      </c>
    </row>
    <row r="34" spans="1:7" s="3" customFormat="1" x14ac:dyDescent="0.2">
      <c r="A34" s="59">
        <f>ROW(A34) - ROW($A$9)</f>
        <v>25</v>
      </c>
      <c r="B34" s="40"/>
      <c r="C34" s="40" t="s">
        <v>67</v>
      </c>
      <c r="D34" s="40" t="s">
        <v>91</v>
      </c>
      <c r="E34" s="40" t="s">
        <v>123</v>
      </c>
      <c r="F34" s="40" t="s">
        <v>171</v>
      </c>
      <c r="G34" s="56">
        <v>1</v>
      </c>
    </row>
    <row r="35" spans="1:7" s="3" customFormat="1" x14ac:dyDescent="0.2">
      <c r="A35" s="60">
        <f>ROW(A35) - ROW($A$9)</f>
        <v>26</v>
      </c>
      <c r="B35" s="36" t="s">
        <v>38</v>
      </c>
      <c r="C35" s="36" t="s">
        <v>68</v>
      </c>
      <c r="D35" s="36" t="s">
        <v>92</v>
      </c>
      <c r="E35" s="36" t="s">
        <v>124</v>
      </c>
      <c r="F35" s="36" t="s">
        <v>38</v>
      </c>
      <c r="G35" s="57">
        <v>1</v>
      </c>
    </row>
    <row r="36" spans="1:7" s="3" customFormat="1" x14ac:dyDescent="0.2">
      <c r="A36" s="59">
        <f>ROW(A36) - ROW($A$9)</f>
        <v>27</v>
      </c>
      <c r="B36" s="40" t="s">
        <v>32</v>
      </c>
      <c r="C36" s="40" t="s">
        <v>69</v>
      </c>
      <c r="D36" s="40" t="s">
        <v>92</v>
      </c>
      <c r="E36" s="40" t="s">
        <v>125</v>
      </c>
      <c r="F36" s="40" t="s">
        <v>172</v>
      </c>
      <c r="G36" s="56">
        <v>1</v>
      </c>
    </row>
    <row r="37" spans="1:7" s="3" customFormat="1" x14ac:dyDescent="0.2">
      <c r="A37" s="60">
        <f>ROW(A37) - ROW($A$9)</f>
        <v>28</v>
      </c>
      <c r="B37" s="36"/>
      <c r="C37" s="36" t="s">
        <v>70</v>
      </c>
      <c r="D37" s="36" t="s">
        <v>36</v>
      </c>
      <c r="E37" s="36" t="s">
        <v>126</v>
      </c>
      <c r="F37" s="36" t="s">
        <v>70</v>
      </c>
      <c r="G37" s="57">
        <v>1</v>
      </c>
    </row>
    <row r="38" spans="1:7" s="3" customFormat="1" x14ac:dyDescent="0.2">
      <c r="A38" s="59">
        <f>ROW(A38) - ROW($A$9)</f>
        <v>29</v>
      </c>
      <c r="B38" s="40" t="s">
        <v>35</v>
      </c>
      <c r="C38" s="40" t="s">
        <v>71</v>
      </c>
      <c r="D38" s="40" t="s">
        <v>92</v>
      </c>
      <c r="E38" s="40" t="s">
        <v>127</v>
      </c>
      <c r="F38" s="40" t="s">
        <v>71</v>
      </c>
      <c r="G38" s="56">
        <v>1</v>
      </c>
    </row>
    <row r="39" spans="1:7" s="3" customFormat="1" x14ac:dyDescent="0.2">
      <c r="A39" s="60">
        <f>ROW(A39) - ROW($A$9)</f>
        <v>30</v>
      </c>
      <c r="B39" s="36"/>
      <c r="C39" s="36" t="s">
        <v>36</v>
      </c>
      <c r="D39" s="36" t="s">
        <v>36</v>
      </c>
      <c r="E39" s="36" t="s">
        <v>128</v>
      </c>
      <c r="F39" s="36"/>
      <c r="G39" s="57">
        <v>1</v>
      </c>
    </row>
    <row r="40" spans="1:7" s="3" customFormat="1" x14ac:dyDescent="0.2">
      <c r="A40" s="59">
        <f>ROW(A40) - ROW($A$9)</f>
        <v>31</v>
      </c>
      <c r="B40" s="40" t="s">
        <v>39</v>
      </c>
      <c r="C40" s="40" t="s">
        <v>39</v>
      </c>
      <c r="D40" s="40" t="s">
        <v>36</v>
      </c>
      <c r="E40" s="40" t="s">
        <v>129</v>
      </c>
      <c r="F40" s="40" t="s">
        <v>173</v>
      </c>
      <c r="G40" s="56">
        <v>1</v>
      </c>
    </row>
    <row r="41" spans="1:7" s="3" customFormat="1" x14ac:dyDescent="0.2">
      <c r="A41" s="60">
        <f>ROW(A41) - ROW($A$9)</f>
        <v>32</v>
      </c>
      <c r="B41" s="36"/>
      <c r="C41" s="36" t="s">
        <v>72</v>
      </c>
      <c r="D41" s="36" t="s">
        <v>93</v>
      </c>
      <c r="E41" s="36" t="s">
        <v>130</v>
      </c>
      <c r="F41" s="36" t="s">
        <v>174</v>
      </c>
      <c r="G41" s="57">
        <v>1</v>
      </c>
    </row>
    <row r="42" spans="1:7" s="3" customFormat="1" x14ac:dyDescent="0.2">
      <c r="A42" s="59">
        <f>ROW(A42) - ROW($A$9)</f>
        <v>33</v>
      </c>
      <c r="B42" s="40" t="s">
        <v>40</v>
      </c>
      <c r="C42" s="40" t="s">
        <v>40</v>
      </c>
      <c r="D42" s="40" t="s">
        <v>94</v>
      </c>
      <c r="E42" s="40" t="s">
        <v>131</v>
      </c>
      <c r="F42" s="40" t="s">
        <v>174</v>
      </c>
      <c r="G42" s="56">
        <v>1</v>
      </c>
    </row>
    <row r="43" spans="1:7" s="3" customFormat="1" x14ac:dyDescent="0.2">
      <c r="A43" s="60">
        <f>ROW(A43) - ROW($A$9)</f>
        <v>34</v>
      </c>
      <c r="B43" s="36" t="s">
        <v>41</v>
      </c>
      <c r="C43" s="36" t="s">
        <v>41</v>
      </c>
      <c r="D43" s="36" t="s">
        <v>36</v>
      </c>
      <c r="E43" s="36" t="s">
        <v>132</v>
      </c>
      <c r="F43" s="36" t="s">
        <v>173</v>
      </c>
      <c r="G43" s="57">
        <v>1</v>
      </c>
    </row>
    <row r="44" spans="1:7" s="3" customFormat="1" x14ac:dyDescent="0.2">
      <c r="A44" s="59">
        <f>ROW(A44) - ROW($A$9)</f>
        <v>35</v>
      </c>
      <c r="B44" s="40" t="s">
        <v>36</v>
      </c>
      <c r="C44" s="40" t="s">
        <v>73</v>
      </c>
      <c r="D44" s="40" t="s">
        <v>89</v>
      </c>
      <c r="E44" s="40" t="s">
        <v>133</v>
      </c>
      <c r="F44" s="40" t="s">
        <v>168</v>
      </c>
      <c r="G44" s="56">
        <v>6</v>
      </c>
    </row>
    <row r="45" spans="1:7" s="3" customFormat="1" x14ac:dyDescent="0.2">
      <c r="A45" s="60">
        <f>ROW(A45) - ROW($A$9)</f>
        <v>36</v>
      </c>
      <c r="B45" s="36" t="s">
        <v>36</v>
      </c>
      <c r="C45" s="36" t="s">
        <v>74</v>
      </c>
      <c r="D45" s="36" t="s">
        <v>89</v>
      </c>
      <c r="E45" s="36" t="s">
        <v>134</v>
      </c>
      <c r="F45" s="36" t="s">
        <v>168</v>
      </c>
      <c r="G45" s="57">
        <v>4</v>
      </c>
    </row>
    <row r="46" spans="1:7" s="3" customFormat="1" x14ac:dyDescent="0.2">
      <c r="A46" s="59">
        <f>ROW(A46) - ROW($A$9)</f>
        <v>37</v>
      </c>
      <c r="B46" s="40"/>
      <c r="C46" s="40" t="s">
        <v>75</v>
      </c>
      <c r="D46" s="40" t="s">
        <v>89</v>
      </c>
      <c r="E46" s="40" t="s">
        <v>135</v>
      </c>
      <c r="F46" s="40" t="s">
        <v>168</v>
      </c>
      <c r="G46" s="56">
        <v>1</v>
      </c>
    </row>
    <row r="47" spans="1:7" s="3" customFormat="1" x14ac:dyDescent="0.2">
      <c r="A47" s="60">
        <f>ROW(A47) - ROW($A$9)</f>
        <v>38</v>
      </c>
      <c r="B47" s="36"/>
      <c r="C47" s="36" t="s">
        <v>76</v>
      </c>
      <c r="D47" s="36" t="s">
        <v>89</v>
      </c>
      <c r="E47" s="36" t="s">
        <v>136</v>
      </c>
      <c r="F47" s="36" t="s">
        <v>168</v>
      </c>
      <c r="G47" s="57">
        <v>1</v>
      </c>
    </row>
    <row r="48" spans="1:7" s="3" customFormat="1" x14ac:dyDescent="0.2">
      <c r="A48" s="59">
        <f>ROW(A48) - ROW($A$9)</f>
        <v>39</v>
      </c>
      <c r="B48" s="40"/>
      <c r="C48" s="40" t="s">
        <v>77</v>
      </c>
      <c r="D48" s="40" t="s">
        <v>89</v>
      </c>
      <c r="E48" s="40" t="s">
        <v>137</v>
      </c>
      <c r="F48" s="40" t="s">
        <v>175</v>
      </c>
      <c r="G48" s="56">
        <v>1</v>
      </c>
    </row>
    <row r="49" spans="1:7" s="3" customFormat="1" x14ac:dyDescent="0.2">
      <c r="A49" s="60">
        <f>ROW(A49) - ROW($A$9)</f>
        <v>40</v>
      </c>
      <c r="B49" s="36" t="s">
        <v>36</v>
      </c>
      <c r="C49" s="36" t="s">
        <v>78</v>
      </c>
      <c r="D49" s="36" t="s">
        <v>89</v>
      </c>
      <c r="E49" s="36" t="s">
        <v>138</v>
      </c>
      <c r="F49" s="36" t="s">
        <v>175</v>
      </c>
      <c r="G49" s="57">
        <v>2</v>
      </c>
    </row>
    <row r="50" spans="1:7" s="3" customFormat="1" x14ac:dyDescent="0.2">
      <c r="A50" s="59">
        <f>ROW(A50) - ROW($A$9)</f>
        <v>41</v>
      </c>
      <c r="B50" s="40" t="s">
        <v>36</v>
      </c>
      <c r="C50" s="40" t="s">
        <v>78</v>
      </c>
      <c r="D50" s="40" t="s">
        <v>89</v>
      </c>
      <c r="E50" s="40" t="s">
        <v>139</v>
      </c>
      <c r="F50" s="40" t="s">
        <v>168</v>
      </c>
      <c r="G50" s="56">
        <v>2</v>
      </c>
    </row>
    <row r="51" spans="1:7" s="3" customFormat="1" x14ac:dyDescent="0.2">
      <c r="A51" s="60">
        <f>ROW(A51) - ROW($A$9)</f>
        <v>42</v>
      </c>
      <c r="B51" s="36"/>
      <c r="C51" s="36" t="s">
        <v>79</v>
      </c>
      <c r="D51" s="36" t="s">
        <v>89</v>
      </c>
      <c r="E51" s="36" t="s">
        <v>140</v>
      </c>
      <c r="F51" s="36" t="s">
        <v>168</v>
      </c>
      <c r="G51" s="57">
        <v>1</v>
      </c>
    </row>
    <row r="52" spans="1:7" s="3" customFormat="1" x14ac:dyDescent="0.2">
      <c r="A52" s="59">
        <f>ROW(A52) - ROW($A$9)</f>
        <v>43</v>
      </c>
      <c r="B52" s="40" t="s">
        <v>35</v>
      </c>
      <c r="C52" s="40" t="s">
        <v>35</v>
      </c>
      <c r="D52" s="40" t="s">
        <v>89</v>
      </c>
      <c r="E52" s="40" t="s">
        <v>141</v>
      </c>
      <c r="F52" s="40" t="s">
        <v>168</v>
      </c>
      <c r="G52" s="56">
        <v>7</v>
      </c>
    </row>
    <row r="53" spans="1:7" s="3" customFormat="1" x14ac:dyDescent="0.2">
      <c r="A53" s="60">
        <f>ROW(A53) - ROW($A$9)</f>
        <v>44</v>
      </c>
      <c r="B53" s="36"/>
      <c r="C53" s="36" t="s">
        <v>80</v>
      </c>
      <c r="D53" s="36" t="s">
        <v>89</v>
      </c>
      <c r="E53" s="36" t="s">
        <v>142</v>
      </c>
      <c r="F53" s="36" t="s">
        <v>176</v>
      </c>
      <c r="G53" s="57">
        <v>1</v>
      </c>
    </row>
    <row r="54" spans="1:7" s="3" customFormat="1" x14ac:dyDescent="0.2">
      <c r="A54" s="59">
        <f>ROW(A54) - ROW($A$9)</f>
        <v>45</v>
      </c>
      <c r="B54" s="40"/>
      <c r="C54" s="40" t="s">
        <v>81</v>
      </c>
      <c r="D54" s="40" t="s">
        <v>89</v>
      </c>
      <c r="E54" s="40" t="s">
        <v>143</v>
      </c>
      <c r="F54" s="40" t="s">
        <v>168</v>
      </c>
      <c r="G54" s="56">
        <v>1</v>
      </c>
    </row>
    <row r="55" spans="1:7" s="3" customFormat="1" x14ac:dyDescent="0.2">
      <c r="A55" s="60">
        <f>ROW(A55) - ROW($A$9)</f>
        <v>46</v>
      </c>
      <c r="B55" s="36"/>
      <c r="C55" s="36" t="s">
        <v>36</v>
      </c>
      <c r="D55" s="36" t="s">
        <v>36</v>
      </c>
      <c r="E55" s="36" t="s">
        <v>144</v>
      </c>
      <c r="F55" s="36"/>
      <c r="G55" s="57">
        <v>1</v>
      </c>
    </row>
    <row r="56" spans="1:7" s="3" customFormat="1" x14ac:dyDescent="0.2">
      <c r="A56" s="59">
        <f>ROW(A56) - ROW($A$9)</f>
        <v>47</v>
      </c>
      <c r="B56" s="40" t="s">
        <v>42</v>
      </c>
      <c r="C56" s="40" t="s">
        <v>82</v>
      </c>
      <c r="D56" s="40" t="s">
        <v>36</v>
      </c>
      <c r="E56" s="40" t="s">
        <v>145</v>
      </c>
      <c r="F56" s="40" t="s">
        <v>177</v>
      </c>
      <c r="G56" s="56">
        <v>1</v>
      </c>
    </row>
    <row r="57" spans="1:7" s="3" customFormat="1" x14ac:dyDescent="0.2">
      <c r="A57" s="60">
        <f>ROW(A57) - ROW($A$9)</f>
        <v>48</v>
      </c>
      <c r="B57" s="36" t="s">
        <v>43</v>
      </c>
      <c r="C57" s="36" t="s">
        <v>43</v>
      </c>
      <c r="D57" s="36" t="s">
        <v>95</v>
      </c>
      <c r="E57" s="36" t="s">
        <v>146</v>
      </c>
      <c r="F57" s="36" t="s">
        <v>178</v>
      </c>
      <c r="G57" s="57">
        <v>1</v>
      </c>
    </row>
    <row r="58" spans="1:7" s="3" customFormat="1" x14ac:dyDescent="0.2">
      <c r="A58" s="59">
        <f>ROW(A58) - ROW($A$9)</f>
        <v>49</v>
      </c>
      <c r="B58" s="40" t="s">
        <v>44</v>
      </c>
      <c r="C58" s="40" t="s">
        <v>83</v>
      </c>
      <c r="D58" s="40" t="s">
        <v>36</v>
      </c>
      <c r="E58" s="40" t="s">
        <v>147</v>
      </c>
      <c r="F58" s="40" t="s">
        <v>179</v>
      </c>
      <c r="G58" s="56">
        <v>1</v>
      </c>
    </row>
    <row r="59" spans="1:7" s="3" customFormat="1" x14ac:dyDescent="0.2">
      <c r="A59" s="60">
        <f>ROW(A59) - ROW($A$9)</f>
        <v>50</v>
      </c>
      <c r="B59" s="36" t="s">
        <v>45</v>
      </c>
      <c r="C59" s="36" t="s">
        <v>45</v>
      </c>
      <c r="D59" s="36" t="s">
        <v>36</v>
      </c>
      <c r="E59" s="36" t="s">
        <v>148</v>
      </c>
      <c r="F59" s="36" t="s">
        <v>178</v>
      </c>
      <c r="G59" s="57">
        <v>1</v>
      </c>
    </row>
    <row r="60" spans="1:7" s="3" customFormat="1" x14ac:dyDescent="0.2">
      <c r="A60" s="59">
        <f>ROW(A60) - ROW($A$9)</f>
        <v>51</v>
      </c>
      <c r="B60" s="40" t="s">
        <v>46</v>
      </c>
      <c r="C60" s="40" t="s">
        <v>46</v>
      </c>
      <c r="D60" s="40" t="s">
        <v>36</v>
      </c>
      <c r="E60" s="40" t="s">
        <v>149</v>
      </c>
      <c r="F60" s="40" t="s">
        <v>173</v>
      </c>
      <c r="G60" s="56">
        <v>2</v>
      </c>
    </row>
    <row r="61" spans="1:7" s="3" customFormat="1" x14ac:dyDescent="0.2">
      <c r="A61" s="60">
        <f>ROW(A61) - ROW($A$9)</f>
        <v>52</v>
      </c>
      <c r="B61" s="36" t="s">
        <v>47</v>
      </c>
      <c r="C61" s="36" t="s">
        <v>47</v>
      </c>
      <c r="D61" s="36" t="s">
        <v>96</v>
      </c>
      <c r="E61" s="36" t="s">
        <v>150</v>
      </c>
      <c r="F61" s="36" t="s">
        <v>178</v>
      </c>
      <c r="G61" s="57">
        <v>1</v>
      </c>
    </row>
    <row r="62" spans="1:7" s="3" customFormat="1" x14ac:dyDescent="0.2">
      <c r="A62" s="59">
        <f>ROW(A62) - ROW($A$9)</f>
        <v>53</v>
      </c>
      <c r="B62" s="40" t="s">
        <v>35</v>
      </c>
      <c r="C62" s="40" t="s">
        <v>35</v>
      </c>
      <c r="D62" s="40" t="s">
        <v>36</v>
      </c>
      <c r="E62" s="40" t="s">
        <v>151</v>
      </c>
      <c r="F62" s="40" t="s">
        <v>179</v>
      </c>
      <c r="G62" s="56">
        <v>1</v>
      </c>
    </row>
    <row r="63" spans="1:7" s="3" customFormat="1" x14ac:dyDescent="0.2">
      <c r="A63" s="60">
        <f>ROW(A63) - ROW($A$9)</f>
        <v>54</v>
      </c>
      <c r="B63" s="36" t="s">
        <v>48</v>
      </c>
      <c r="C63" s="36" t="s">
        <v>48</v>
      </c>
      <c r="D63" s="36" t="s">
        <v>36</v>
      </c>
      <c r="E63" s="36" t="s">
        <v>152</v>
      </c>
      <c r="F63" s="36" t="s">
        <v>180</v>
      </c>
      <c r="G63" s="57">
        <v>1</v>
      </c>
    </row>
    <row r="64" spans="1:7" s="3" customFormat="1" x14ac:dyDescent="0.2">
      <c r="A64" s="59">
        <f>ROW(A64) - ROW($A$9)</f>
        <v>55</v>
      </c>
      <c r="B64" s="40"/>
      <c r="C64" s="40" t="s">
        <v>84</v>
      </c>
      <c r="D64" s="40" t="s">
        <v>36</v>
      </c>
      <c r="E64" s="40" t="s">
        <v>153</v>
      </c>
      <c r="F64" s="40" t="s">
        <v>178</v>
      </c>
      <c r="G64" s="56">
        <v>1</v>
      </c>
    </row>
    <row r="65" spans="1:7" s="3" customFormat="1" x14ac:dyDescent="0.2">
      <c r="A65" s="60">
        <f>ROW(A65) - ROW($A$9)</f>
        <v>56</v>
      </c>
      <c r="B65" s="36"/>
      <c r="C65" s="36" t="s">
        <v>85</v>
      </c>
      <c r="D65" s="36" t="s">
        <v>97</v>
      </c>
      <c r="E65" s="36" t="s">
        <v>154</v>
      </c>
      <c r="F65" s="36" t="s">
        <v>181</v>
      </c>
      <c r="G65" s="57">
        <v>1</v>
      </c>
    </row>
    <row r="66" spans="1:7" x14ac:dyDescent="0.2">
      <c r="A66" s="62" t="s">
        <v>19</v>
      </c>
      <c r="B66" s="63"/>
      <c r="C66" s="32"/>
      <c r="D66" s="31"/>
      <c r="E66" s="33" t="s">
        <v>20</v>
      </c>
      <c r="F66" s="37"/>
      <c r="G66" s="69" t="s">
        <v>30</v>
      </c>
    </row>
    <row r="67" spans="1:7" x14ac:dyDescent="0.2">
      <c r="A67" s="55"/>
      <c r="B67" s="8"/>
      <c r="C67" s="7"/>
      <c r="D67" s="9"/>
      <c r="E67" s="6"/>
      <c r="F67" s="6"/>
      <c r="G67" s="14"/>
    </row>
    <row r="68" spans="1:7" x14ac:dyDescent="0.2">
      <c r="A68" s="55"/>
      <c r="B68" s="8"/>
      <c r="C68" s="8"/>
      <c r="D68" s="10"/>
      <c r="E68" s="7"/>
      <c r="F68" s="7"/>
      <c r="G68" s="15"/>
    </row>
    <row r="69" spans="1:7" x14ac:dyDescent="0.2">
      <c r="A69" s="55"/>
      <c r="B69" s="8"/>
      <c r="C69" s="8"/>
      <c r="D69" s="10"/>
      <c r="E69" s="7"/>
      <c r="F69" s="7"/>
      <c r="G69" s="15"/>
    </row>
    <row r="70" spans="1:7" ht="13.5" thickBot="1" x14ac:dyDescent="0.25">
      <c r="A70" s="30"/>
      <c r="B70" s="13"/>
      <c r="C70" s="13"/>
      <c r="D70" s="11"/>
      <c r="E70" s="12"/>
      <c r="F70" s="12"/>
      <c r="G70" s="16"/>
    </row>
    <row r="79" spans="1:7" x14ac:dyDescent="0.2">
      <c r="B79" s="38"/>
    </row>
  </sheetData>
  <mergeCells count="1">
    <mergeCell ref="A66:B66"/>
  </mergeCells>
  <phoneticPr fontId="0" type="noConversion"/>
  <printOptions horizontalCentered="1"/>
  <pageMargins left="0.5" right="0" top="0.80555555599999995" bottom="0.55555555599999995" header="0" footer="0"/>
  <pageSetup paperSize="9" scale="91" fitToHeight="0" pageOrder="overThenDown" orientation="landscape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6"/>
  <sheetViews>
    <sheetView workbookViewId="0">
      <selection activeCell="A16" sqref="A16"/>
    </sheetView>
  </sheetViews>
  <sheetFormatPr defaultRowHeight="12.75" x14ac:dyDescent="0.2"/>
  <cols>
    <col min="1" max="1" width="28" bestFit="1" customWidth="1"/>
    <col min="2" max="2" width="110.5703125" customWidth="1"/>
  </cols>
  <sheetData>
    <row r="1" spans="1:2" x14ac:dyDescent="0.2">
      <c r="A1" s="28" t="s">
        <v>0</v>
      </c>
      <c r="B1" s="70" t="s">
        <v>183</v>
      </c>
    </row>
    <row r="2" spans="1:2" x14ac:dyDescent="0.2">
      <c r="A2" s="27" t="s">
        <v>1</v>
      </c>
      <c r="B2" s="71" t="s">
        <v>26</v>
      </c>
    </row>
    <row r="3" spans="1:2" x14ac:dyDescent="0.2">
      <c r="A3" s="28" t="s">
        <v>2</v>
      </c>
      <c r="B3" s="72" t="s">
        <v>27</v>
      </c>
    </row>
    <row r="4" spans="1:2" x14ac:dyDescent="0.2">
      <c r="A4" s="27" t="s">
        <v>3</v>
      </c>
      <c r="B4" s="71" t="s">
        <v>26</v>
      </c>
    </row>
    <row r="5" spans="1:2" x14ac:dyDescent="0.2">
      <c r="A5" s="28" t="s">
        <v>4</v>
      </c>
      <c r="B5" s="72" t="s">
        <v>183</v>
      </c>
    </row>
    <row r="6" spans="1:2" x14ac:dyDescent="0.2">
      <c r="A6" s="27" t="s">
        <v>5</v>
      </c>
      <c r="B6" s="71" t="s">
        <v>25</v>
      </c>
    </row>
    <row r="7" spans="1:2" x14ac:dyDescent="0.2">
      <c r="A7" s="28" t="s">
        <v>6</v>
      </c>
      <c r="B7" s="72" t="s">
        <v>30</v>
      </c>
    </row>
    <row r="8" spans="1:2" x14ac:dyDescent="0.2">
      <c r="A8" s="27" t="s">
        <v>7</v>
      </c>
      <c r="B8" s="71" t="s">
        <v>29</v>
      </c>
    </row>
    <row r="9" spans="1:2" x14ac:dyDescent="0.2">
      <c r="A9" s="28" t="s">
        <v>8</v>
      </c>
      <c r="B9" s="72" t="s">
        <v>28</v>
      </c>
    </row>
    <row r="10" spans="1:2" x14ac:dyDescent="0.2">
      <c r="A10" s="27" t="s">
        <v>9</v>
      </c>
      <c r="B10" s="71" t="s">
        <v>184</v>
      </c>
    </row>
    <row r="11" spans="1:2" x14ac:dyDescent="0.2">
      <c r="A11" s="28" t="s">
        <v>10</v>
      </c>
      <c r="B11" s="72" t="s">
        <v>185</v>
      </c>
    </row>
    <row r="12" spans="1:2" x14ac:dyDescent="0.2">
      <c r="A12" s="27" t="s">
        <v>11</v>
      </c>
      <c r="B12" s="71" t="s">
        <v>186</v>
      </c>
    </row>
    <row r="13" spans="1:2" x14ac:dyDescent="0.2">
      <c r="A13" s="28" t="s">
        <v>12</v>
      </c>
      <c r="B13" s="72" t="s">
        <v>187</v>
      </c>
    </row>
    <row r="14" spans="1:2" x14ac:dyDescent="0.2">
      <c r="A14" s="27" t="s">
        <v>13</v>
      </c>
      <c r="B14" s="71" t="s">
        <v>185</v>
      </c>
    </row>
    <row r="15" spans="1:2" x14ac:dyDescent="0.2">
      <c r="A15" s="28" t="s">
        <v>21</v>
      </c>
      <c r="B15" s="29" t="s">
        <v>188</v>
      </c>
    </row>
    <row r="16" spans="1:2" x14ac:dyDescent="0.2">
      <c r="A16" s="27" t="s">
        <v>22</v>
      </c>
      <c r="B16" s="5" t="s">
        <v>189</v>
      </c>
    </row>
  </sheetData>
  <phoneticPr fontId="1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Ravikant</dc:creator>
  <cp:lastModifiedBy>Ravikant</cp:lastModifiedBy>
  <cp:lastPrinted>2022-01-08T18:58:40Z</cp:lastPrinted>
  <dcterms:created xsi:type="dcterms:W3CDTF">2002-11-05T15:28:02Z</dcterms:created>
  <dcterms:modified xsi:type="dcterms:W3CDTF">2023-04-18T10:31:47Z</dcterms:modified>
</cp:coreProperties>
</file>